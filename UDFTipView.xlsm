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AddIns\UDFTipForm\"/>
    </mc:Choice>
  </mc:AlternateContent>
  <xr:revisionPtr revIDLastSave="0" documentId="13_ncr:1_{E25C884B-E6EB-473F-A594-1EE30877F3FB}" xr6:coauthVersionLast="47" xr6:coauthVersionMax="47" xr10:uidLastSave="{00000000-0000-0000-0000-000000000000}"/>
  <bookViews>
    <workbookView xWindow="1095" yWindow="375" windowWidth="25635" windowHeight="14475" xr2:uid="{00000000-000D-0000-FFFF-FFFF00000000}"/>
  </bookViews>
  <sheets>
    <sheet name="Hàm TipForm" sheetId="1" r:id="rId1"/>
    <sheet name="test1" sheetId="3" r:id="rId2"/>
    <sheet name="test2" sheetId="4" r:id="rId3"/>
  </sheets>
  <functionGroups builtInGroupCount="19"/>
  <definedNames>
    <definedName name="TipForm1" localSheetId="1">test1!$B$4</definedName>
    <definedName name="TipForm1" localSheetId="2">test2!$B$4</definedName>
    <definedName name="TipView1" localSheetId="1">test1!$B$4</definedName>
    <definedName name="TipView1" localSheetId="2">test2!$B$4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3" l="1" a="1"/>
  <c r="B4" i="4" a="1"/>
  <c r="O17" i="4" a="1"/>
  <c r="R17" i="4" a="1"/>
  <c r="R16" i="4" a="1"/>
  <c r="B7" i="3" a="1"/>
  <c r="B6" i="3" a="1"/>
  <c r="B5" i="3" a="1"/>
  <c r="O14" i="3" a="1"/>
  <c r="O18" i="3" a="1"/>
  <c r="O16" i="3" a="1"/>
  <c r="R17" i="3" a="1"/>
  <c r="R16" i="3" a="1"/>
  <c r="B4" i="3" l="1"/>
  <c r="B4" i="4"/>
  <c r="O17" i="4"/>
  <c r="R17" i="4"/>
  <c r="R16" i="4"/>
  <c r="B7" i="3"/>
  <c r="B6" i="3"/>
  <c r="B5" i="3"/>
  <c r="O14" i="3"/>
  <c r="O18" i="3"/>
  <c r="O16" i="3"/>
  <c r="R17" i="3"/>
  <c r="R16" i="3"/>
  <c r="O18" i="4" a="1"/>
  <c r="O18" i="4" l="1"/>
  <c r="O16" i="4" a="1"/>
  <c r="O16" i="4" l="1"/>
  <c r="R15" i="4" a="1"/>
  <c r="R15" i="4" l="1"/>
  <c r="O15" i="4" a="1"/>
  <c r="O15" i="4" l="1"/>
  <c r="R14" i="4" a="1"/>
  <c r="R14" i="4" l="1"/>
  <c r="O14" i="4" a="1"/>
  <c r="O14" i="4" l="1"/>
  <c r="B7" i="4" a="1"/>
  <c r="B7" i="4" l="1"/>
  <c r="B6" i="4" a="1"/>
  <c r="B6" i="4" l="1"/>
  <c r="B5" i="4" a="1"/>
  <c r="B5" i="4" l="1"/>
  <c r="O17" i="3" a="1"/>
  <c r="O17" i="3" l="1"/>
  <c r="R15" i="3" a="1"/>
  <c r="R15" i="3" l="1"/>
  <c r="O15" i="3" a="1"/>
  <c r="O15" i="3" l="1"/>
  <c r="R14" i="3" a="1"/>
  <c r="R1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80F82A-F218-4C0D-9B8A-E30B6DB51714}" name="TipForm_Worksheet" type="4" refreshedVersion="0" background="1">
    <webPr xml="1" sourceData="1" url="C:\Users\AMD\AppData\Local\Temp\TipForm_Worksheet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<sst xmlns="http://schemas.openxmlformats.org/spreadsheetml/2006/main" count="245" uniqueCount="125">
  <si>
    <t>Vị trí</t>
  </si>
  <si>
    <t>Tham số</t>
  </si>
  <si>
    <t>Kiểu</t>
  </si>
  <si>
    <t>Tham số :</t>
  </si>
  <si>
    <t>Diễn giải</t>
  </si>
  <si>
    <t>https://www.giaiphapexcel.com/diendan/threads/152514/</t>
  </si>
  <si>
    <t xml:space="preserve">Hàm: </t>
  </si>
  <si>
    <t>Github</t>
  </si>
  <si>
    <t>GPE</t>
  </si>
  <si>
    <t>Các hàm đối số bổ trợ</t>
  </si>
  <si>
    <t>Các hàm nhập vào đối số FindObject</t>
  </si>
  <si>
    <t>Arguments</t>
  </si>
  <si>
    <t>https://m.me/he.sanbi</t>
  </si>
  <si>
    <t>Tiêu đề 1</t>
  </si>
  <si>
    <t>Tiêu đề 2</t>
  </si>
  <si>
    <t>Tiêu đề 3</t>
  </si>
  <si>
    <t>Tiêu đề 4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</si>
  <si>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</si>
  <si>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</si>
  <si>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</si>
  <si>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</si>
  <si>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</si>
  <si>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</si>
  <si>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</si>
  <si>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</si>
  <si>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</si>
  <si>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</si>
  <si>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</si>
  <si>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</si>
  <si>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</si>
  <si>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</si>
  <si>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</si>
  <si>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</si>
  <si>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</si>
  <si>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</si>
  <si>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</si>
  <si>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</si>
  <si>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</si>
  <si>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</si>
  <si>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</si>
  <si>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</si>
  <si>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Cột 1</t>
  </si>
  <si>
    <t>Cột 2</t>
  </si>
  <si>
    <t>Cột 3</t>
  </si>
  <si>
    <t>Cột 4</t>
  </si>
  <si>
    <t>Tiêu đề 5</t>
  </si>
  <si>
    <t>1. Chỉ cần gõ hàm để thiết lập nhanh chóng</t>
  </si>
  <si>
    <t>Thông tin</t>
  </si>
  <si>
    <t>Các hàm trả về vị trí:</t>
  </si>
  <si>
    <t>Thứ tự dòng</t>
  </si>
  <si>
    <t>Giá trị</t>
  </si>
  <si>
    <t>Ô đối tượng</t>
  </si>
  <si>
    <t>Ảnh hiển thị:</t>
  </si>
  <si>
    <t>Thứ tự cột</t>
  </si>
  <si>
    <t>2. Hiển thị Tip khi rê chuột chọn ô hoặc chỉ rê chuột thời gian thực.</t>
  </si>
  <si>
    <t>Vùng_sự_kiện_chuột</t>
  </si>
  <si>
    <t>Vùng ô hoặc Name</t>
  </si>
  <si>
    <t>Vùng khi chuột rê vào sẽ hiển thị Tip</t>
  </si>
  <si>
    <t>Có thể nhập nhiều đối số phía sau, để thiết lặp</t>
  </si>
  <si>
    <t xml:space="preserve">Vùng ô, tip hiển thị tối đa 3 vùng ô </t>
  </si>
  <si>
    <t>Biểu đồ, tip hiển thị tối đa 3 biểu đồ</t>
  </si>
  <si>
    <t xml:space="preserve">Các hàm </t>
  </si>
  <si>
    <t>Các trả về vị trí và thứ tự dòng, cột hoặc ô hiện tại để tham chiếu dữ liệu</t>
  </si>
  <si>
    <t>Các hàm này cần tham chiếu cho dữ liệu sẽ hiển thị trong Tip gồm ViewRange và ViewCharts</t>
  </si>
  <si>
    <t>Trả về thứ tự dòng hoặc ô hiện tại đang rê chuột trong bảng, có phụ thuộc ColumnCheck</t>
  </si>
  <si>
    <t>Trả về thứ tự cột hoặc ô hiện tại đang rê chuột trong bảng, có phụ thuộc RowCheck</t>
  </si>
  <si>
    <t>Tùy chọn rê chuột thì hiển thị tip thời gian thực thay cho chọn ô</t>
  </si>
  <si>
    <t>Tùy chọn hiển thị theo chiều dọc, nếu có 2 cửa sổ tip trở lên</t>
  </si>
  <si>
    <r>
      <rPr>
        <b/>
        <sz val="14"/>
        <color theme="1"/>
        <rFont val="Tahoma"/>
        <family val="2"/>
      </rPr>
      <t xml:space="preserve">✡ </t>
    </r>
    <r>
      <rPr>
        <b/>
        <sz val="11"/>
        <color theme="1"/>
        <rFont val="Tahoma"/>
        <family val="2"/>
      </rPr>
      <t>Bảng 1</t>
    </r>
  </si>
  <si>
    <r>
      <rPr>
        <b/>
        <sz val="14"/>
        <color theme="1"/>
        <rFont val="Tahoma"/>
        <family val="2"/>
      </rPr>
      <t xml:space="preserve">✡ </t>
    </r>
    <r>
      <rPr>
        <b/>
        <sz val="11"/>
        <color theme="1"/>
        <rFont val="Tahoma"/>
        <family val="2"/>
      </rPr>
      <t>Bảng 2 (tham chiếu)</t>
    </r>
  </si>
  <si>
    <r>
      <rPr>
        <b/>
        <sz val="14"/>
        <color theme="1"/>
        <rFont val="Tahoma"/>
        <family val="2"/>
      </rPr>
      <t>✡</t>
    </r>
    <r>
      <rPr>
        <b/>
        <sz val="11"/>
        <color theme="1"/>
        <rFont val="Tahoma"/>
        <family val="2"/>
      </rPr>
      <t xml:space="preserve"> Form tip dựng sẵn</t>
    </r>
  </si>
  <si>
    <r>
      <rPr>
        <b/>
        <sz val="14"/>
        <color rgb="FF00B0F0"/>
        <rFont val="Tahoma"/>
        <family val="2"/>
      </rPr>
      <t>⭐</t>
    </r>
    <r>
      <rPr>
        <b/>
        <sz val="14"/>
        <color theme="1"/>
        <rFont val="Tahoma"/>
        <family val="2"/>
      </rPr>
      <t>Cách tạo form tip với form dựng sẵn</t>
    </r>
  </si>
  <si>
    <r>
      <rPr>
        <b/>
        <sz val="16"/>
        <color theme="8"/>
        <rFont val="Tahoma"/>
        <family val="2"/>
      </rPr>
      <t>⍟</t>
    </r>
    <r>
      <rPr>
        <b/>
        <sz val="11"/>
        <color theme="1"/>
        <rFont val="Tahoma"/>
        <family val="2"/>
      </rPr>
      <t>Gõ hàm như sau:</t>
    </r>
  </si>
  <si>
    <r>
      <rPr>
        <b/>
        <sz val="16"/>
        <color theme="8"/>
        <rFont val="Tahoma"/>
        <family val="2"/>
      </rPr>
      <t>⍟</t>
    </r>
    <r>
      <rPr>
        <b/>
        <sz val="11"/>
        <color theme="1"/>
        <rFont val="Tahoma"/>
        <family val="2"/>
      </rPr>
      <t xml:space="preserve">Hiểu là: </t>
    </r>
  </si>
  <si>
    <r>
      <t xml:space="preserve">Tài trợ dự án: </t>
    </r>
    <r>
      <rPr>
        <sz val="12"/>
        <color theme="5" tint="0.39997558519241921"/>
        <rFont val="Tahoma"/>
        <family val="2"/>
      </rPr>
      <t>VCB - 0061001003974 - Vo Truong Anh Tuan</t>
    </r>
  </si>
  <si>
    <r>
      <t xml:space="preserve">Liên hệ: </t>
    </r>
    <r>
      <rPr>
        <sz val="12"/>
        <color theme="5" tint="0.39997558519241921"/>
        <rFont val="Tahoma"/>
        <family val="2"/>
      </rPr>
      <t>Zalo 0384170514</t>
    </r>
  </si>
  <si>
    <r>
      <rPr>
        <b/>
        <sz val="18"/>
        <color theme="7" tint="-0.249977111117893"/>
        <rFont val="Tahoma"/>
        <family val="2"/>
      </rPr>
      <t>⭐</t>
    </r>
    <r>
      <rPr>
        <b/>
        <sz val="16"/>
        <color theme="7" tint="-0.249977111117893"/>
        <rFont val="Tahoma"/>
        <family val="2"/>
      </rPr>
      <t>HÀM THIẾT LẬP HÀNH ĐỘNG CHUỘT HIỂN THỊ CỬA SỔ TIP CHO EXCEL</t>
    </r>
  </si>
  <si>
    <r>
      <rPr>
        <b/>
        <sz val="16"/>
        <color rgb="FF00B0F0"/>
        <rFont val="Tahoma"/>
        <family val="2"/>
      </rPr>
      <t>⍟</t>
    </r>
    <r>
      <rPr>
        <b/>
        <sz val="14"/>
        <color rgb="FF00B0F0"/>
        <rFont val="Tahoma"/>
        <family val="2"/>
      </rPr>
      <t>Ưu điểm và chức năng:</t>
    </r>
  </si>
  <si>
    <t>https://github.com/SanbiVN/UDFTipView</t>
  </si>
  <si>
    <t>với Hàm TipView</t>
  </si>
  <si>
    <t>⍟Hướng dẫn sử dụng hàm TipView:</t>
  </si>
  <si>
    <t>Cách viết hàm nhanh, gõ vào ô chuỗi =TipView và ấn tổ hợp phím Ctrl+Shift+A</t>
  </si>
  <si>
    <t>Gõ hàm TipView_HuongDan() để hiển thị hướng dẫn đầy đủ khi cần</t>
  </si>
  <si>
    <t>Các hàm dưới đây thiết lập để hiển thị cửa sổ Tip, và chúng phải được gõ trong hàm TipView</t>
  </si>
  <si>
    <t>TipView_ViewRange(Vùng_ô, ...)</t>
  </si>
  <si>
    <t>TipView_ViewImage(Tên/Path, Chiều_rộng, chiều_cao)</t>
  </si>
  <si>
    <t>TipView_ViewCharts(Biểu_đồ, ...)</t>
  </si>
  <si>
    <t>TipView_MouseOver()</t>
  </si>
  <si>
    <t>TipView_ShowVertical()</t>
  </si>
  <si>
    <r>
      <rPr>
        <sz val="14"/>
        <color rgb="FFFF0000"/>
        <rFont val="Tahoma"/>
        <family val="2"/>
      </rPr>
      <t>⭐</t>
    </r>
    <r>
      <rPr>
        <sz val="11"/>
        <color rgb="FF0070C0"/>
        <rFont val="Tahoma"/>
        <family val="2"/>
      </rPr>
      <t>Hãy rê chuột vào cột 3, 4 - Bảng 1 để thử nghiệm</t>
    </r>
  </si>
  <si>
    <t>TipView_GetRow(2) trả về:</t>
  </si>
  <si>
    <t>TipView_GetRow(2,True) trả về:</t>
  </si>
  <si>
    <t>TipView_GetColumn(2) trả về:</t>
  </si>
  <si>
    <t>TipView_GetColumn(2,True) trả về:</t>
  </si>
  <si>
    <t>TipView_GetRow(Cột_tham_chiếu, [Trả_về_ô_đối_tượng])</t>
  </si>
  <si>
    <t>TipView_GetCol(Dòng_tham_chiếu, [Trả_về_ô_đối_tượng])</t>
  </si>
  <si>
    <t>=TipView(Vùng_sự_kiện_chuột, Các_hàm_thiết_lập,...)</t>
  </si>
  <si>
    <r>
      <t>Vị trí bắt đầu nằm quanh ô:</t>
    </r>
    <r>
      <rPr>
        <sz val="11"/>
        <color rgb="FF141414"/>
        <rFont val="Segoe UI"/>
        <family val="2"/>
      </rPr>
      <t>​</t>
    </r>
  </si>
  <si>
    <t>​</t>
  </si>
  <si>
    <t>Thông số vị trí</t>
  </si>
  <si>
    <t>Tip_LeftTop = 0</t>
  </si>
  <si>
    <t>Vị trí bên trái + phía trên</t>
  </si>
  <si>
    <t>Tip_LeftBottom = 1</t>
  </si>
  <si>
    <t>Vị trí bên trái + phía dưới</t>
  </si>
  <si>
    <t>Tip_RightTop = 2</t>
  </si>
  <si>
    <t>Vị trí bên phải + phía trên</t>
  </si>
  <si>
    <t>Tip_RightBottom = 4</t>
  </si>
  <si>
    <t>Vị trí bên phải + phía dưới</t>
  </si>
  <si>
    <r>
      <t>Vị trí cửa sổ sẽ hiển thị</t>
    </r>
    <r>
      <rPr>
        <sz val="11"/>
        <color rgb="FF141414"/>
        <rFont val="Segoe UI"/>
        <family val="2"/>
      </rPr>
      <t>​</t>
    </r>
  </si>
  <si>
    <t>Tip_WindowRightBelow = 0</t>
  </si>
  <si>
    <t>Cửa sổ sẽ nằm ở bên phải + phía dưới</t>
  </si>
  <si>
    <t>Tip_WindowRightAbove = 8</t>
  </si>
  <si>
    <t>Cửa sổ sẽ nằm ở bên phải + phía trên</t>
  </si>
  <si>
    <t>Tip_WindowLeftBelow = 16</t>
  </si>
  <si>
    <t>Cửa sổ sẽ nằm ở bên trái + phía dưới</t>
  </si>
  <si>
    <t>Tip_WindowLeftAbove = 32</t>
  </si>
  <si>
    <t>Cửa sổ sẽ nằm ở bên trên + phía trên</t>
  </si>
  <si>
    <t>Các hàm thiết lập vị trí hiển thị cửa sổ Tip quanh ô chọn</t>
  </si>
  <si>
    <t>Cửa sổ tip mặc định vị trí hiển thị ở phía dưới bên phải ô hiện hành. Các hàm sau đây sẽ giúp thay đổi vị trí linh hoạt hơn.​</t>
  </si>
  <si>
    <t>3. Hiển thị Tip gồm: Chú thích, vùng ô (Range), Ảnh (trang tính, tệp gốc, tệp thư mục) và Biểu đồ</t>
  </si>
  <si>
    <t>TipView_Data(Vùng_dữ_liệu)</t>
  </si>
  <si>
    <t>Nhập vùng dữ liệu để TipView_GetRow, và TipView_GetColumn tham chiếu</t>
  </si>
  <si>
    <t>Hiển thị ảnh gồm: Ảnh PNG, GIF, JPG, JPGE, BITMAP, ICO
Nguồn tham chiếu gồm:
- Ảnh trong trang tính: TipView_ViewImage("Name...1")
- Ảnh nằm trong đóng gói tệp (xl/Embeding, xl/CustomUI/Images): Nhập như trên, tự động tìm kiếm.
- Ảnh từ đường dẫn thư mục: TipView_ViewImage("C:\Folder\Image...1.png")
- Ảnh từ liên kết URL: TipView_ViewImage("https:\\...Image...1.png")</t>
  </si>
  <si>
    <t>Trong form các hàm phải tham chiếu đến hàm TipView_GetRow(), TipView_GetCol(), để lấy thứ tự dòng, cột vị trí hiện tại hoặc ActiveCell hiện tại</t>
  </si>
  <si>
    <r>
      <rPr>
        <b/>
        <sz val="14"/>
        <color rgb="FF00B0F0"/>
        <rFont val="Tahoma"/>
        <family val="2"/>
      </rPr>
      <t>⭐</t>
    </r>
    <r>
      <rPr>
        <b/>
        <sz val="14"/>
        <color theme="1"/>
        <rFont val="Tahoma"/>
        <family val="2"/>
      </rPr>
      <t>Cách tạo form tip với form dựng sẵn + Biểu đồ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</si>
</sst>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Times New Roman"/>
      <family val="2"/>
    </font>
    <font>
      <sz val="11"/>
      <color theme="1"/>
      <name val="Calibri"/>
      <family val="2"/>
      <scheme val="minor"/>
    </font>
    <font>
      <u/>
      <sz val="14"/>
      <color theme="10"/>
      <name val="Times New Roman"/>
      <family val="2"/>
    </font>
    <font>
      <sz val="14"/>
      <color theme="1"/>
      <name val="Times New Roman"/>
      <family val="2"/>
    </font>
    <font>
      <u/>
      <sz val="11"/>
      <color theme="10"/>
      <name val="Calibri"/>
      <family val="2"/>
      <scheme val="minor"/>
    </font>
    <font>
      <sz val="8"/>
      <name val="Times New Roman"/>
      <family val="2"/>
    </font>
    <font>
      <b/>
      <sz val="11"/>
      <color rgb="FF4B4B4B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1"/>
      <color theme="9" tint="-0.499984740745262"/>
      <name val="Tahoma"/>
      <family val="2"/>
    </font>
    <font>
      <sz val="11"/>
      <color rgb="FF0070C0"/>
      <name val="Tahoma"/>
      <family val="2"/>
    </font>
    <font>
      <sz val="12"/>
      <color rgb="FF0070C0"/>
      <name val="Tahoma"/>
      <family val="2"/>
    </font>
    <font>
      <sz val="14"/>
      <name val="Tahoma"/>
      <family val="2"/>
    </font>
    <font>
      <sz val="14"/>
      <color rgb="FFFF0000"/>
      <name val="Tahoma"/>
      <family val="2"/>
    </font>
    <font>
      <b/>
      <sz val="14"/>
      <color rgb="FF00B0F0"/>
      <name val="Tahoma"/>
      <family val="2"/>
    </font>
    <font>
      <b/>
      <sz val="16"/>
      <color rgb="FF00B0F0"/>
      <name val="Tahoma"/>
      <family val="2"/>
    </font>
    <font>
      <b/>
      <sz val="16"/>
      <color theme="8"/>
      <name val="Tahoma"/>
      <family val="2"/>
    </font>
    <font>
      <u/>
      <sz val="14"/>
      <color theme="10"/>
      <name val="Tahoma"/>
      <family val="2"/>
    </font>
    <font>
      <sz val="12"/>
      <color rgb="FF00B050"/>
      <name val="Tahoma"/>
      <family val="2"/>
    </font>
    <font>
      <sz val="12"/>
      <color theme="5" tint="0.39997558519241921"/>
      <name val="Tahoma"/>
      <family val="2"/>
    </font>
    <font>
      <sz val="14"/>
      <color theme="7" tint="0.39997558519241921"/>
      <name val="Tahoma"/>
      <family val="2"/>
    </font>
    <font>
      <sz val="12"/>
      <color rgb="FF92D050"/>
      <name val="Tahoma"/>
      <family val="2"/>
    </font>
    <font>
      <sz val="18"/>
      <color rgb="FF92D050"/>
      <name val="Tahoma"/>
      <family val="2"/>
    </font>
    <font>
      <b/>
      <sz val="20"/>
      <color rgb="FF92D050"/>
      <name val="Tahoma"/>
      <family val="2"/>
    </font>
    <font>
      <sz val="16"/>
      <color rgb="FF002060"/>
      <name val="Tahoma"/>
      <family val="2"/>
    </font>
    <font>
      <sz val="14"/>
      <color rgb="FF141414"/>
      <name val="Tahoma"/>
      <family val="2"/>
    </font>
    <font>
      <b/>
      <sz val="16"/>
      <color theme="6" tint="-0.499984740745262"/>
      <name val="Tahoma"/>
      <family val="2"/>
    </font>
    <font>
      <sz val="14"/>
      <color theme="6" tint="-0.499984740745262"/>
      <name val="Tahoma"/>
      <family val="2"/>
    </font>
    <font>
      <b/>
      <sz val="14"/>
      <color theme="5" tint="0.39997558519241921"/>
      <name val="Tahoma"/>
      <family val="2"/>
    </font>
    <font>
      <sz val="12"/>
      <color theme="6" tint="-0.499984740745262"/>
      <name val="Tahoma"/>
      <family val="2"/>
    </font>
    <font>
      <sz val="12"/>
      <name val="Tahoma"/>
      <family val="2"/>
    </font>
    <font>
      <sz val="12"/>
      <color rgb="FF00B0F0"/>
      <name val="Tahoma"/>
      <family val="2"/>
    </font>
    <font>
      <b/>
      <sz val="14"/>
      <color theme="6" tint="-0.499984740745262"/>
      <name val="Tahoma"/>
      <family val="2"/>
    </font>
    <font>
      <sz val="12"/>
      <color theme="7" tint="-0.249977111117893"/>
      <name val="Tahoma"/>
      <family val="2"/>
    </font>
    <font>
      <sz val="12"/>
      <color rgb="FF7030A0"/>
      <name val="Tahoma"/>
      <family val="2"/>
    </font>
    <font>
      <sz val="14"/>
      <color theme="5" tint="-0.249977111117893"/>
      <name val="Tahoma"/>
      <family val="2"/>
    </font>
    <font>
      <sz val="16"/>
      <color theme="8" tint="-0.499984740745262"/>
      <name val="Tahoma"/>
      <family val="2"/>
    </font>
    <font>
      <sz val="18"/>
      <color rgb="FFFFC000"/>
      <name val="Tahoma"/>
      <family val="2"/>
    </font>
    <font>
      <sz val="14"/>
      <color rgb="FF000000"/>
      <name val="Tahoma"/>
      <family val="2"/>
    </font>
    <font>
      <b/>
      <sz val="11"/>
      <color theme="6" tint="-0.499984740745262"/>
      <name val="Tahoma"/>
      <family val="2"/>
    </font>
    <font>
      <b/>
      <sz val="12"/>
      <name val="Tahoma"/>
      <family val="2"/>
    </font>
    <font>
      <b/>
      <sz val="11"/>
      <name val="Tahoma"/>
      <family val="2"/>
    </font>
    <font>
      <b/>
      <sz val="18"/>
      <color theme="7" tint="-0.249977111117893"/>
      <name val="Tahoma"/>
      <family val="2"/>
    </font>
    <font>
      <b/>
      <sz val="16"/>
      <color theme="7" tint="-0.249977111117893"/>
      <name val="Tahoma"/>
      <family val="2"/>
    </font>
    <font>
      <sz val="11"/>
      <color rgb="FF141414"/>
      <name val="Segoe UI"/>
      <family val="2"/>
    </font>
    <font>
      <b/>
      <sz val="11"/>
      <color rgb="FF7C706B"/>
      <name val="Segoe UI"/>
      <family val="2"/>
    </font>
    <font>
      <b/>
      <sz val="14"/>
      <color rgb="FF475577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</cellStyleXfs>
  <cellXfs count="69">
    <xf numFmtId="0" fontId="0" fillId="0" borderId="0" xfId="0"/>
    <xf numFmtId="0" fontId="6" fillId="0" borderId="5" xfId="0" applyFont="1" applyBorder="1"/>
    <xf numFmtId="0" fontId="7" fillId="0" borderId="0" xfId="0" applyFont="1"/>
    <xf numFmtId="0" fontId="8" fillId="0" borderId="5" xfId="0" applyFont="1" applyBorder="1"/>
    <xf numFmtId="0" fontId="8" fillId="0" borderId="0" xfId="0" applyFont="1"/>
    <xf numFmtId="0" fontId="8" fillId="0" borderId="5" xfId="0" applyFont="1" applyBorder="1" applyAlignment="1">
      <alignment wrapText="1"/>
    </xf>
    <xf numFmtId="0" fontId="8" fillId="2" borderId="5" xfId="0" applyFont="1" applyFill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3" borderId="5" xfId="0" applyFont="1" applyFill="1" applyBorder="1" applyAlignment="1">
      <alignment horizontal="right"/>
    </xf>
    <xf numFmtId="0" fontId="8" fillId="0" borderId="5" xfId="0" quotePrefix="1" applyFont="1" applyBorder="1"/>
    <xf numFmtId="0" fontId="8" fillId="0" borderId="0" xfId="0" applyFont="1" applyAlignment="1">
      <alignment horizontal="right"/>
    </xf>
    <xf numFmtId="0" fontId="13" fillId="0" borderId="0" xfId="0" applyFont="1"/>
    <xf numFmtId="0" fontId="14" fillId="0" borderId="0" xfId="0" applyFont="1"/>
    <xf numFmtId="0" fontId="16" fillId="0" borderId="0" xfId="3" applyFont="1" applyAlignment="1">
      <alignment horizontal="right"/>
    </xf>
    <xf numFmtId="0" fontId="21" fillId="0" borderId="0" xfId="1" applyFont="1" applyFill="1"/>
    <xf numFmtId="0" fontId="16" fillId="0" borderId="0" xfId="3" applyFont="1"/>
    <xf numFmtId="0" fontId="22" fillId="0" borderId="0" xfId="0" applyFont="1" applyAlignment="1">
      <alignment horizontal="left" vertical="center"/>
    </xf>
    <xf numFmtId="0" fontId="21" fillId="0" borderId="0" xfId="1" applyFont="1" applyFill="1" applyAlignment="1">
      <alignment vertical="center"/>
    </xf>
    <xf numFmtId="0" fontId="24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0" fontId="25" fillId="0" borderId="0" xfId="0" quotePrefix="1" applyFont="1" applyAlignment="1">
      <alignment vertical="center"/>
    </xf>
    <xf numFmtId="0" fontId="31" fillId="0" borderId="0" xfId="0" applyFont="1"/>
    <xf numFmtId="0" fontId="32" fillId="0" borderId="0" xfId="0" quotePrefix="1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1" xfId="0" applyFont="1" applyBorder="1" applyAlignment="1">
      <alignment vertical="center"/>
    </xf>
    <xf numFmtId="0" fontId="35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38" fillId="0" borderId="1" xfId="0" applyFont="1" applyBorder="1" applyAlignment="1">
      <alignment vertical="center" wrapText="1"/>
    </xf>
    <xf numFmtId="0" fontId="37" fillId="0" borderId="1" xfId="0" applyFont="1" applyBorder="1" applyAlignment="1">
      <alignment vertical="center" wrapText="1"/>
    </xf>
    <xf numFmtId="0" fontId="35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39" fillId="0" borderId="0" xfId="0" quotePrefix="1" applyFont="1" applyAlignment="1">
      <alignment vertical="center"/>
    </xf>
    <xf numFmtId="0" fontId="40" fillId="0" borderId="0" xfId="0" applyFont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15" fillId="0" borderId="2" xfId="0" applyFont="1" applyBorder="1" applyAlignment="1">
      <alignment vertical="center"/>
    </xf>
    <xf numFmtId="0" fontId="42" fillId="0" borderId="0" xfId="0" applyFont="1"/>
    <xf numFmtId="0" fontId="43" fillId="0" borderId="1" xfId="0" applyFont="1" applyBorder="1" applyAlignment="1">
      <alignment vertical="center"/>
    </xf>
    <xf numFmtId="0" fontId="44" fillId="0" borderId="2" xfId="0" applyFont="1" applyBorder="1" applyAlignment="1">
      <alignment vertical="center"/>
    </xf>
    <xf numFmtId="0" fontId="45" fillId="0" borderId="2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8" fillId="0" borderId="0" xfId="0" applyFont="1" applyAlignment="1">
      <alignment horizontal="left" wrapText="1"/>
    </xf>
    <xf numFmtId="0" fontId="37" fillId="0" borderId="3" xfId="0" applyFont="1" applyBorder="1" applyAlignment="1">
      <alignment horizontal="left" vertical="center"/>
    </xf>
    <xf numFmtId="0" fontId="37" fillId="0" borderId="4" xfId="0" applyFont="1" applyBorder="1" applyAlignment="1">
      <alignment horizontal="left" vertical="center"/>
    </xf>
    <xf numFmtId="0" fontId="34" fillId="0" borderId="3" xfId="0" applyFont="1" applyBorder="1" applyAlignment="1">
      <alignment horizontal="left" vertical="center"/>
    </xf>
    <xf numFmtId="0" fontId="34" fillId="0" borderId="4" xfId="0" applyFont="1" applyBorder="1" applyAlignment="1">
      <alignment horizontal="left" vertical="center"/>
    </xf>
    <xf numFmtId="0" fontId="8" fillId="0" borderId="5" xfId="0" applyFont="1" applyFill="1" applyBorder="1"/>
    <xf numFmtId="0" fontId="49" fillId="0" borderId="0" xfId="0" applyFont="1" applyAlignment="1">
      <alignment horizontal="left" vertical="center" wrapText="1" indent="1"/>
    </xf>
    <xf numFmtId="0" fontId="48" fillId="0" borderId="0" xfId="0" applyFont="1" applyAlignment="1">
      <alignment horizontal="left" vertical="center" wrapText="1" indent="2"/>
    </xf>
    <xf numFmtId="0" fontId="50" fillId="0" borderId="0" xfId="0" applyFont="1"/>
    <xf numFmtId="0" fontId="48" fillId="0" borderId="0" xfId="0" applyFont="1" applyAlignment="1">
      <alignment horizontal="left" vertical="center" wrapText="1" indent="1"/>
    </xf>
    <xf numFmtId="0" fontId="48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</cellXfs>
  <cellStyles count="5">
    <cellStyle name="Bình thường" xfId="0" builtinId="0"/>
    <cellStyle name="Normal 2" xfId="2" xr:uid="{18E49359-618A-4C44-92F4-6B952F60CEBB}"/>
    <cellStyle name="Normal 2 2" xfId="3" xr:uid="{567F0A9D-8DB5-44EF-B1AB-9E916D705FB2}"/>
    <cellStyle name="Siêu kết nối" xfId="1" builtinId="8"/>
    <cellStyle name="Siêu kết nối 2" xfId="4" xr:uid="{3B04574A-2A67-4749-BC39-E6C7134BD2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urn:schemas-microsoft-com:office:spreadsheet' xmlns:ns2='urn:schemas-microsoft-com:office:excel'">
  <Schema ID="Schema1" Namespace="urn:schemas-microsoft-com:office:excel">
    <xsd:schema xmlns:xsd="http://www.w3.org/2001/XMLSchema" xmlns:ns0="urn:schemas-microsoft-com:office:excel" xmlns="" targetNamespace="urn:schemas-microsoft-com:office:excel">
      <xsd:attribute name="Family" type="xsd:string"/>
    </xsd:schema>
  </Schema>
  <Schema ID="Schema2" SchemaRef="Schema1" Namespace="urn:schemas-microsoft-com:office:spreadsheet">
    <xsd:schema xmlns:xsd="http://www.w3.org/2001/XMLSchema" xmlns:ns0="urn:schemas-microsoft-com:office:spreadsheet" xmlns:ns1="urn:schemas-microsoft-com:office:excel" xmlns="" targetNamespace="urn:schemas-microsoft-com:office:spreadsheet">
      <xsd:import namespace="urn:schemas-microsoft-com:office:excel"/>
      <xsd:element nillable="true" name="Workbook">
        <xsd:complexType>
          <xsd:sequence minOccurs="0">
            <xsd:element minOccurs="0" nillable="true" name="Styles" form="qualified">
              <xsd:complexType>
                <xsd:sequence minOccurs="0">
                  <xsd:element minOccurs="0" maxOccurs="unbounded" nillable="true" name="Style" form="qualified">
                    <xsd:complexType>
                      <xsd:all>
                        <xsd:element minOccurs="0" nillable="true" name="Alignment" form="qualified">
                          <xsd:complexType>
                            <xsd:attribute ref="ns0:Vertical"/>
                            <xsd:attribute ref="ns0:Horizontal"/>
                          </xsd:complexType>
                        </xsd:element>
                        <xsd:element minOccurs="0" nillable="true" name="Borders" form="qualified">
                          <xsd:complexType>
                            <xsd:sequence minOccurs="0">
                              <xsd:element minOccurs="0" maxOccurs="unbounded" nillable="true" name="Border" form="qualified">
                                <xsd:complexType>
                                  <xsd:attribute ref="ns0:Position"/>
                                  <xsd:attribute ref="ns0:LineStyle"/>
                                  <xsd:attribute ref="ns0:Weight"/>
                                  <xsd:attribute ref="ns0:Colo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ont" form="qualified">
                          <xsd:complexType>
                            <xsd:attribute ref="ns0:FontName"/>
                            <xsd:attribute ref="ns1:Family"/>
                            <xsd:attribute ref="ns0:Size"/>
                            <xsd:attribute ref="ns0:Color"/>
                            <xsd:attribute ref="ns0:Bold"/>
                          </xsd:complexType>
                        </xsd:element>
                        <xsd:element minOccurs="0" nillable="true" name="Interior" form="qualified">
                          <xsd:complexType>
                            <xsd:attribute ref="ns0:Color"/>
                            <xsd:attribute ref="ns0:Pattern"/>
                          </xsd:complexType>
                        </xsd:element>
                        <xsd:element minOccurs="0" nillable="true" type="xsd:string" name="NumberFormat" form="qualified"/>
                        <xsd:element minOccurs="0" nillable="true" type="xsd:string" name="Protection" form="qualified"/>
                      </xsd:all>
                      <xsd:attribute ref="ns0:ID"/>
                      <xsd:attribute ref="ns0:Name"/>
                    </xsd:complexType>
                  </xsd:element>
                </xsd:sequence>
              </xsd:complexType>
            </xsd:element>
            <xsd:element minOccurs="0" nillable="true" name="Worksheet" form="qualified">
              <xsd:complexType>
                <xsd:sequence minOccurs="0">
                  <xsd:element minOccurs="0" nillable="true" name="Table" form="qualified">
                    <xsd:complexType>
                      <xsd:sequence minOccurs="0">
                        <xsd:element minOccurs="0" maxOccurs="unbounded" nillable="true" name="Row" form="qualified">
                          <xsd:complexType>
                            <xsd:sequence minOccurs="0">
                              <xsd:element minOccurs="0" maxOccurs="unbounded" nillable="true" name="Cell" form="qualified">
                                <xsd:complexType>
                                  <xsd:sequence minOccurs="0">
                                    <xsd:element minOccurs="0" nillable="true" name="Data" form="qualified">
                                      <xsd:complexType>
                                        <xsd:simpleContent>
                                          <xsd:extension base="xsd:string">
                                            <xsd:attribute ref="ns0:Type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ref="ns0:StyleID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ref="ns0:ExpandedColumnCount"/>
                      <xsd:attribute ref="ns0:ExpandedRowCount"/>
                      <xsd:attribute ref="ns0:StyleID"/>
                      <xsd:attribute ref="ns0:DefaultColumnWidth"/>
                      <xsd:attribute ref="ns0:DefaultRowHeight"/>
                    </xsd:complexType>
                  </xsd:element>
                </xsd:sequence>
                <xsd:attribute ref="ns0:Name"/>
              </xsd:complexType>
            </xsd:element>
          </xsd:sequence>
        </xsd:complexType>
      </xsd:element>
      <xsd:attribute name="ID" type="xsd:string"/>
      <xsd:attribute name="Name" type="xsd:string"/>
      <xsd:attribute name="Vertical" type="xsd:string"/>
      <xsd:attribute name="FontName" type="xsd:string"/>
      <xsd:attribute name="Size" type="xsd:integer"/>
      <xsd:attribute name="Color" type="xsd:string"/>
      <xsd:attribute name="Position" type="xsd:string"/>
      <xsd:attribute name="LineStyle" type="xsd:string"/>
      <xsd:attribute name="Weight" type="xsd:integer"/>
      <xsd:attribute name="Bold" type="xsd:integer"/>
      <xsd:attribute name="Horizontal" type="xsd:string"/>
      <xsd:attribute name="Pattern" type="xsd:string"/>
      <xsd:attribute name="ExpandedColumnCount" type="xsd:integer"/>
      <xsd:attribute name="ExpandedRowCount" type="xsd:integer"/>
      <xsd:attribute name="StyleID" type="xsd:string"/>
      <xsd:attribute name="DefaultColumnWidth" type="xsd:integer"/>
      <xsd:attribute name="DefaultRowHeight" type="xsd:integer"/>
      <xsd:attribute name="Type" type="xsd:string"/>
    </xsd:schema>
  </Schema>
  <Map ID="1" Name="Workbook_Bản đồ" RootElement="Workbook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test2!$C$13</c:f>
              <c:strCache>
                <c:ptCount val="1"/>
                <c:pt idx="0">
                  <c:v>Tiêu đề 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test2!$A$14:$B$25</c:f>
              <c:multiLvlStrCache>
                <c:ptCount val="12"/>
                <c:lvl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  <c:pt idx="10">
                    <c:v>B11</c:v>
                  </c:pt>
                  <c:pt idx="11">
                    <c:v>B12</c:v>
                  </c:pt>
                </c:lvl>
                <c:lvl>
                  <c:pt idx="0">
                    <c:v>A1</c:v>
                  </c:pt>
                  <c:pt idx="1">
                    <c:v>A2</c:v>
                  </c:pt>
                  <c:pt idx="2">
                    <c:v>A3</c:v>
                  </c:pt>
                  <c:pt idx="3">
                    <c:v>A4</c:v>
                  </c:pt>
                  <c:pt idx="4">
                    <c:v>A5</c:v>
                  </c:pt>
                  <c:pt idx="5">
                    <c:v>A6</c:v>
                  </c:pt>
                  <c:pt idx="6">
                    <c:v>A7</c:v>
                  </c:pt>
                  <c:pt idx="7">
                    <c:v>A8</c:v>
                  </c:pt>
                  <c:pt idx="8">
                    <c:v>A9</c:v>
                  </c:pt>
                  <c:pt idx="9">
                    <c:v>A10</c:v>
                  </c:pt>
                  <c:pt idx="10">
                    <c:v>A11</c:v>
                  </c:pt>
                  <c:pt idx="11">
                    <c:v>A12</c:v>
                  </c:pt>
                </c:lvl>
              </c:multiLvlStrCache>
            </c:multiLvlStrRef>
          </c:cat>
          <c:val>
            <c:numRef>
              <c:f>test2!$C$14:$C$25</c:f>
              <c:numCache>
                <c:formatCode>General</c:formatCode>
                <c:ptCount val="12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3-46C3-A283-5927178F98DC}"/>
            </c:ext>
          </c:extLst>
        </c:ser>
        <c:ser>
          <c:idx val="1"/>
          <c:order val="1"/>
          <c:tx>
            <c:strRef>
              <c:f>test2!$D$13</c:f>
              <c:strCache>
                <c:ptCount val="1"/>
                <c:pt idx="0">
                  <c:v>Tiêu đề 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test2!$A$14:$B$25</c:f>
              <c:multiLvlStrCache>
                <c:ptCount val="12"/>
                <c:lvl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  <c:pt idx="10">
                    <c:v>B11</c:v>
                  </c:pt>
                  <c:pt idx="11">
                    <c:v>B12</c:v>
                  </c:pt>
                </c:lvl>
                <c:lvl>
                  <c:pt idx="0">
                    <c:v>A1</c:v>
                  </c:pt>
                  <c:pt idx="1">
                    <c:v>A2</c:v>
                  </c:pt>
                  <c:pt idx="2">
                    <c:v>A3</c:v>
                  </c:pt>
                  <c:pt idx="3">
                    <c:v>A4</c:v>
                  </c:pt>
                  <c:pt idx="4">
                    <c:v>A5</c:v>
                  </c:pt>
                  <c:pt idx="5">
                    <c:v>A6</c:v>
                  </c:pt>
                  <c:pt idx="6">
                    <c:v>A7</c:v>
                  </c:pt>
                  <c:pt idx="7">
                    <c:v>A8</c:v>
                  </c:pt>
                  <c:pt idx="8">
                    <c:v>A9</c:v>
                  </c:pt>
                  <c:pt idx="9">
                    <c:v>A10</c:v>
                  </c:pt>
                  <c:pt idx="10">
                    <c:v>A11</c:v>
                  </c:pt>
                  <c:pt idx="11">
                    <c:v>A12</c:v>
                  </c:pt>
                </c:lvl>
              </c:multiLvlStrCache>
            </c:multiLvlStrRef>
          </c:cat>
          <c:val>
            <c:numRef>
              <c:f>test2!$D$14:$D$25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B3-46C3-A283-5927178F98DC}"/>
            </c:ext>
          </c:extLst>
        </c:ser>
        <c:ser>
          <c:idx val="2"/>
          <c:order val="2"/>
          <c:tx>
            <c:strRef>
              <c:f>test2!$E$13</c:f>
              <c:strCache>
                <c:ptCount val="1"/>
                <c:pt idx="0">
                  <c:v>Tiêu đề 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test2!$A$14:$B$25</c:f>
              <c:multiLvlStrCache>
                <c:ptCount val="12"/>
                <c:lvl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  <c:pt idx="10">
                    <c:v>B11</c:v>
                  </c:pt>
                  <c:pt idx="11">
                    <c:v>B12</c:v>
                  </c:pt>
                </c:lvl>
                <c:lvl>
                  <c:pt idx="0">
                    <c:v>A1</c:v>
                  </c:pt>
                  <c:pt idx="1">
                    <c:v>A2</c:v>
                  </c:pt>
                  <c:pt idx="2">
                    <c:v>A3</c:v>
                  </c:pt>
                  <c:pt idx="3">
                    <c:v>A4</c:v>
                  </c:pt>
                  <c:pt idx="4">
                    <c:v>A5</c:v>
                  </c:pt>
                  <c:pt idx="5">
                    <c:v>A6</c:v>
                  </c:pt>
                  <c:pt idx="6">
                    <c:v>A7</c:v>
                  </c:pt>
                  <c:pt idx="7">
                    <c:v>A8</c:v>
                  </c:pt>
                  <c:pt idx="8">
                    <c:v>A9</c:v>
                  </c:pt>
                  <c:pt idx="9">
                    <c:v>A10</c:v>
                  </c:pt>
                  <c:pt idx="10">
                    <c:v>A11</c:v>
                  </c:pt>
                  <c:pt idx="11">
                    <c:v>A12</c:v>
                  </c:pt>
                </c:lvl>
              </c:multiLvlStrCache>
            </c:multiLvlStrRef>
          </c:cat>
          <c:val>
            <c:numRef>
              <c:f>test2!$E$14:$E$25</c:f>
              <c:numCache>
                <c:formatCode>General</c:formatCode>
                <c:ptCount val="12"/>
                <c:pt idx="0">
                  <c:v>19.899999999999999</c:v>
                </c:pt>
                <c:pt idx="1">
                  <c:v>21.8</c:v>
                </c:pt>
                <c:pt idx="2">
                  <c:v>23.7</c:v>
                </c:pt>
                <c:pt idx="3">
                  <c:v>25.6</c:v>
                </c:pt>
                <c:pt idx="4">
                  <c:v>27.5</c:v>
                </c:pt>
                <c:pt idx="5">
                  <c:v>29.4</c:v>
                </c:pt>
                <c:pt idx="6">
                  <c:v>31.3</c:v>
                </c:pt>
                <c:pt idx="7">
                  <c:v>33.200000000000003</c:v>
                </c:pt>
                <c:pt idx="8">
                  <c:v>35.1</c:v>
                </c:pt>
                <c:pt idx="9">
                  <c:v>37</c:v>
                </c:pt>
                <c:pt idx="10">
                  <c:v>38.9</c:v>
                </c:pt>
                <c:pt idx="11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3-46C3-A283-5927178F9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7798079"/>
        <c:axId val="357796639"/>
      </c:barChart>
      <c:catAx>
        <c:axId val="3577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796639"/>
        <c:crosses val="autoZero"/>
        <c:auto val="1"/>
        <c:lblAlgn val="ctr"/>
        <c:lblOffset val="100"/>
        <c:noMultiLvlLbl val="0"/>
      </c:catAx>
      <c:valAx>
        <c:axId val="35779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79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28</xdr:row>
      <xdr:rowOff>80962</xdr:rowOff>
    </xdr:from>
    <xdr:to>
      <xdr:col>14</xdr:col>
      <xdr:colOff>190500</xdr:colOff>
      <xdr:row>40</xdr:row>
      <xdr:rowOff>80962</xdr:rowOff>
    </xdr:to>
    <xdr:graphicFrame macro="">
      <xdr:nvGraphicFramePr>
        <xdr:cNvPr id="2" name="ChartTest1">
          <a:extLst>
            <a:ext uri="{FF2B5EF4-FFF2-40B4-BE49-F238E27FC236}">
              <a16:creationId xmlns:a16="http://schemas.microsoft.com/office/drawing/2014/main" id="{660D0FB2-E519-4FFA-8982-A82039FE8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.me/he.sanbi" TargetMode="External"/><Relationship Id="rId2" Type="http://schemas.openxmlformats.org/officeDocument/2006/relationships/hyperlink" Target="https://github.com/SanbiVN/UDFTipForm" TargetMode="External"/><Relationship Id="rId1" Type="http://schemas.openxmlformats.org/officeDocument/2006/relationships/hyperlink" Target="https://www.giaiphapexcel.com/diendan/threads/152514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73"/>
  <sheetViews>
    <sheetView showGridLines="0" tabSelected="1" workbookViewId="0">
      <selection activeCell="D8" sqref="D8"/>
    </sheetView>
  </sheetViews>
  <sheetFormatPr defaultRowHeight="18" x14ac:dyDescent="0.25"/>
  <cols>
    <col min="1" max="1" width="3" style="25" customWidth="1"/>
    <col min="2" max="2" width="4.33203125" style="25" customWidth="1"/>
    <col min="3" max="3" width="5.6640625" style="25" customWidth="1"/>
    <col min="4" max="4" width="48.5546875" style="25" customWidth="1"/>
    <col min="5" max="5" width="24.109375" style="25" customWidth="1"/>
    <col min="6" max="6" width="49.109375" style="25" customWidth="1"/>
    <col min="7" max="7" width="16" style="25" customWidth="1"/>
    <col min="8" max="8" width="53" style="25" customWidth="1"/>
    <col min="9" max="16384" width="8.88671875" style="25"/>
  </cols>
  <sheetData>
    <row r="1" spans="2:6" s="22" customFormat="1" ht="21" customHeight="1" x14ac:dyDescent="0.25">
      <c r="B1" s="20" t="s">
        <v>7</v>
      </c>
      <c r="C1" s="21" t="s">
        <v>78</v>
      </c>
      <c r="F1" s="23" t="s">
        <v>74</v>
      </c>
    </row>
    <row r="2" spans="2:6" ht="21" customHeight="1" x14ac:dyDescent="0.25">
      <c r="B2" s="20" t="s">
        <v>8</v>
      </c>
      <c r="C2" s="24" t="s">
        <v>5</v>
      </c>
      <c r="E2" s="26"/>
      <c r="F2" s="23" t="s">
        <v>75</v>
      </c>
    </row>
    <row r="3" spans="2:6" ht="21" customHeight="1" x14ac:dyDescent="0.25">
      <c r="B3" s="26"/>
      <c r="C3" s="26"/>
      <c r="E3" s="26"/>
      <c r="F3" s="24" t="s">
        <v>12</v>
      </c>
    </row>
    <row r="4" spans="2:6" ht="28.5" customHeight="1" x14ac:dyDescent="0.25">
      <c r="B4" s="54" t="s">
        <v>76</v>
      </c>
      <c r="C4" s="26"/>
      <c r="D4" s="26"/>
      <c r="E4" s="26"/>
      <c r="F4" s="26"/>
    </row>
    <row r="5" spans="2:6" ht="25.5" x14ac:dyDescent="0.25">
      <c r="B5" s="27" t="s">
        <v>79</v>
      </c>
      <c r="C5" s="28"/>
      <c r="D5" s="26"/>
      <c r="E5" s="26"/>
      <c r="F5" s="26"/>
    </row>
    <row r="6" spans="2:6" ht="6" customHeight="1" x14ac:dyDescent="0.25">
      <c r="B6" s="27"/>
      <c r="C6" s="29"/>
      <c r="D6" s="26"/>
      <c r="E6" s="26"/>
      <c r="F6" s="26"/>
    </row>
    <row r="7" spans="2:6" ht="22.5" customHeight="1" x14ac:dyDescent="0.25">
      <c r="B7" s="55" t="s">
        <v>77</v>
      </c>
      <c r="D7" s="26"/>
      <c r="E7" s="26"/>
      <c r="F7" s="26"/>
    </row>
    <row r="8" spans="2:6" ht="6" customHeight="1" x14ac:dyDescent="0.25">
      <c r="B8" s="27"/>
      <c r="C8" s="30"/>
      <c r="D8" s="26"/>
      <c r="E8" s="26"/>
      <c r="F8" s="26"/>
    </row>
    <row r="9" spans="2:6" ht="21" customHeight="1" x14ac:dyDescent="0.25">
      <c r="B9" s="27"/>
      <c r="C9" s="31" t="s">
        <v>46</v>
      </c>
      <c r="D9" s="26"/>
      <c r="E9" s="26"/>
      <c r="F9" s="26"/>
    </row>
    <row r="10" spans="2:6" ht="21" customHeight="1" x14ac:dyDescent="0.25">
      <c r="B10" s="27"/>
      <c r="C10" s="31" t="s">
        <v>54</v>
      </c>
      <c r="D10" s="26"/>
      <c r="E10" s="26"/>
      <c r="F10" s="26"/>
    </row>
    <row r="11" spans="2:6" ht="21" customHeight="1" x14ac:dyDescent="0.25">
      <c r="B11" s="27"/>
      <c r="C11" s="31" t="s">
        <v>119</v>
      </c>
      <c r="D11" s="26"/>
      <c r="E11" s="26"/>
      <c r="F11" s="26"/>
    </row>
    <row r="12" spans="2:6" ht="9.75" customHeight="1" x14ac:dyDescent="0.25">
      <c r="B12" s="27"/>
      <c r="C12" s="29"/>
      <c r="D12" s="26"/>
      <c r="E12" s="26"/>
      <c r="F12" s="26"/>
    </row>
    <row r="13" spans="2:6" ht="22.5" customHeight="1" x14ac:dyDescent="0.25">
      <c r="B13" s="56" t="s">
        <v>80</v>
      </c>
      <c r="C13" s="26"/>
      <c r="D13" s="26"/>
      <c r="E13" s="26"/>
      <c r="F13" s="33"/>
    </row>
    <row r="14" spans="2:6" ht="21" customHeight="1" x14ac:dyDescent="0.25">
      <c r="B14" s="26"/>
      <c r="C14" s="34" t="s">
        <v>6</v>
      </c>
      <c r="D14" s="35" t="s">
        <v>96</v>
      </c>
      <c r="E14" s="26"/>
      <c r="F14" s="33"/>
    </row>
    <row r="15" spans="2:6" ht="21" customHeight="1" x14ac:dyDescent="0.25">
      <c r="B15" s="26"/>
      <c r="C15" s="34"/>
      <c r="D15" s="36" t="s">
        <v>81</v>
      </c>
      <c r="E15" s="26"/>
      <c r="F15" s="33"/>
    </row>
    <row r="16" spans="2:6" ht="21" customHeight="1" x14ac:dyDescent="0.25">
      <c r="B16" s="26"/>
      <c r="C16" s="36" t="s">
        <v>3</v>
      </c>
      <c r="D16" s="26"/>
      <c r="E16" s="26"/>
      <c r="F16" s="33"/>
    </row>
    <row r="17" spans="2:8" ht="21" customHeight="1" x14ac:dyDescent="0.25">
      <c r="B17" s="26"/>
      <c r="C17" s="37" t="s">
        <v>0</v>
      </c>
      <c r="D17" s="37" t="s">
        <v>1</v>
      </c>
      <c r="E17" s="37" t="s">
        <v>2</v>
      </c>
      <c r="F17" s="37" t="s">
        <v>4</v>
      </c>
    </row>
    <row r="18" spans="2:8" ht="21" customHeight="1" x14ac:dyDescent="0.25">
      <c r="B18" s="26"/>
      <c r="C18" s="38">
        <v>1</v>
      </c>
      <c r="D18" s="51" t="s">
        <v>55</v>
      </c>
      <c r="E18" s="41" t="s">
        <v>56</v>
      </c>
      <c r="F18" s="40" t="s">
        <v>57</v>
      </c>
    </row>
    <row r="19" spans="2:8" ht="21" customHeight="1" x14ac:dyDescent="0.25">
      <c r="B19" s="26"/>
      <c r="C19" s="38">
        <v>2</v>
      </c>
      <c r="D19" s="51" t="s">
        <v>11</v>
      </c>
      <c r="E19" s="39" t="s">
        <v>9</v>
      </c>
      <c r="F19" s="40" t="s">
        <v>58</v>
      </c>
    </row>
    <row r="20" spans="2:8" ht="6" customHeight="1" x14ac:dyDescent="0.25">
      <c r="B20" s="26"/>
      <c r="C20" s="42"/>
      <c r="D20" s="26"/>
      <c r="E20" s="43"/>
      <c r="F20" s="42"/>
      <c r="G20" s="42"/>
      <c r="H20" s="42"/>
    </row>
    <row r="21" spans="2:8" ht="21" customHeight="1" x14ac:dyDescent="0.25">
      <c r="B21" s="32"/>
      <c r="C21" s="42"/>
      <c r="D21" s="44" t="s">
        <v>82</v>
      </c>
      <c r="E21" s="26"/>
      <c r="F21" s="33"/>
    </row>
    <row r="22" spans="2:8" ht="6" customHeight="1" x14ac:dyDescent="0.25">
      <c r="B22" s="32"/>
      <c r="C22" s="42"/>
      <c r="E22" s="26"/>
      <c r="F22" s="33"/>
    </row>
    <row r="23" spans="2:8" ht="22.5" customHeight="1" x14ac:dyDescent="0.25">
      <c r="B23" s="32"/>
      <c r="C23" s="45" t="s">
        <v>83</v>
      </c>
      <c r="E23" s="26"/>
      <c r="F23" s="33"/>
    </row>
    <row r="24" spans="2:8" ht="13.5" customHeight="1" x14ac:dyDescent="0.25">
      <c r="B24" s="26"/>
      <c r="C24" s="26"/>
      <c r="D24" s="33"/>
      <c r="E24" s="26"/>
      <c r="F24" s="33"/>
    </row>
    <row r="25" spans="2:8" ht="21" customHeight="1" x14ac:dyDescent="0.25">
      <c r="B25" s="26"/>
      <c r="C25" s="26"/>
      <c r="D25" s="53" t="s">
        <v>10</v>
      </c>
      <c r="E25" s="60" t="s">
        <v>2</v>
      </c>
      <c r="F25" s="61"/>
    </row>
    <row r="26" spans="2:8" ht="21" customHeight="1" x14ac:dyDescent="0.25">
      <c r="B26" s="26"/>
      <c r="C26" s="26"/>
      <c r="D26" s="46" t="s">
        <v>120</v>
      </c>
      <c r="E26" s="58" t="s">
        <v>121</v>
      </c>
      <c r="F26" s="59"/>
    </row>
    <row r="27" spans="2:8" ht="21" customHeight="1" x14ac:dyDescent="0.25">
      <c r="B27" s="26"/>
      <c r="C27" s="26"/>
      <c r="D27" s="47" t="s">
        <v>84</v>
      </c>
      <c r="E27" s="58" t="s">
        <v>59</v>
      </c>
      <c r="F27" s="59"/>
    </row>
    <row r="28" spans="2:8" ht="111" customHeight="1" x14ac:dyDescent="0.25">
      <c r="B28" s="26"/>
      <c r="C28" s="26"/>
      <c r="D28" s="47" t="s">
        <v>85</v>
      </c>
      <c r="E28" s="68" t="s">
        <v>122</v>
      </c>
      <c r="F28" s="59"/>
    </row>
    <row r="29" spans="2:8" ht="21" customHeight="1" x14ac:dyDescent="0.25">
      <c r="B29" s="26"/>
      <c r="C29" s="48"/>
      <c r="D29" s="47" t="s">
        <v>86</v>
      </c>
      <c r="E29" s="58" t="s">
        <v>60</v>
      </c>
      <c r="F29" s="59"/>
    </row>
    <row r="30" spans="2:8" ht="21" customHeight="1" x14ac:dyDescent="0.25">
      <c r="B30" s="26"/>
      <c r="C30" s="26"/>
      <c r="D30" s="47" t="s">
        <v>87</v>
      </c>
      <c r="E30" s="58" t="s">
        <v>66</v>
      </c>
      <c r="F30" s="59"/>
    </row>
    <row r="31" spans="2:8" ht="21" customHeight="1" x14ac:dyDescent="0.25">
      <c r="B31" s="26"/>
      <c r="C31" s="26"/>
      <c r="D31" s="47" t="s">
        <v>88</v>
      </c>
      <c r="E31" s="58" t="s">
        <v>67</v>
      </c>
      <c r="F31" s="59"/>
    </row>
    <row r="32" spans="2:8" ht="6" customHeight="1" x14ac:dyDescent="0.25">
      <c r="B32" s="26"/>
      <c r="C32" s="26"/>
      <c r="D32" s="26"/>
      <c r="E32" s="26"/>
      <c r="F32" s="26"/>
    </row>
    <row r="33" spans="2:6" ht="6" customHeight="1" x14ac:dyDescent="0.25">
      <c r="B33" s="26"/>
      <c r="D33" s="26"/>
      <c r="E33" s="26"/>
      <c r="F33" s="33"/>
    </row>
    <row r="34" spans="2:6" ht="22.5" customHeight="1" x14ac:dyDescent="0.25">
      <c r="C34" s="45" t="s">
        <v>62</v>
      </c>
    </row>
    <row r="35" spans="2:6" ht="21" customHeight="1" x14ac:dyDescent="0.25">
      <c r="D35" s="44" t="s">
        <v>63</v>
      </c>
    </row>
    <row r="36" spans="2:6" ht="11.25" customHeight="1" x14ac:dyDescent="0.25"/>
    <row r="37" spans="2:6" ht="21" customHeight="1" x14ac:dyDescent="0.25">
      <c r="B37" s="26"/>
      <c r="C37" s="26"/>
      <c r="D37" s="52" t="s">
        <v>61</v>
      </c>
      <c r="E37" s="60" t="s">
        <v>2</v>
      </c>
      <c r="F37" s="61"/>
    </row>
    <row r="38" spans="2:6" ht="21" customHeight="1" x14ac:dyDescent="0.25">
      <c r="B38" s="26"/>
      <c r="C38" s="26"/>
      <c r="D38" s="49" t="s">
        <v>94</v>
      </c>
      <c r="E38" s="58" t="s">
        <v>64</v>
      </c>
      <c r="F38" s="59"/>
    </row>
    <row r="39" spans="2:6" ht="24.75" customHeight="1" x14ac:dyDescent="0.25">
      <c r="B39" s="26"/>
      <c r="C39" s="26"/>
      <c r="D39" s="49" t="s">
        <v>95</v>
      </c>
      <c r="E39" s="58" t="s">
        <v>65</v>
      </c>
      <c r="F39" s="59"/>
    </row>
    <row r="40" spans="2:6" ht="17.25" customHeight="1" x14ac:dyDescent="0.25"/>
    <row r="41" spans="2:6" ht="17.25" customHeight="1" x14ac:dyDescent="0.25">
      <c r="C41" s="65" t="s">
        <v>117</v>
      </c>
    </row>
    <row r="42" spans="2:6" ht="17.25" customHeight="1" x14ac:dyDescent="0.25">
      <c r="D42" s="66" t="s">
        <v>98</v>
      </c>
    </row>
    <row r="43" spans="2:6" ht="32.25" customHeight="1" x14ac:dyDescent="0.25">
      <c r="D43" s="67" t="s">
        <v>118</v>
      </c>
      <c r="E43" s="67"/>
    </row>
    <row r="44" spans="2:6" ht="17.25" customHeight="1" x14ac:dyDescent="0.25"/>
    <row r="45" spans="2:6" ht="17.25" customHeight="1" x14ac:dyDescent="0.3">
      <c r="D45" s="63" t="s">
        <v>97</v>
      </c>
      <c r="E45"/>
    </row>
    <row r="46" spans="2:6" ht="17.25" customHeight="1" x14ac:dyDescent="0.3">
      <c r="D46" s="64" t="s">
        <v>98</v>
      </c>
      <c r="E46"/>
    </row>
    <row r="47" spans="2:6" ht="17.25" customHeight="1" x14ac:dyDescent="0.25">
      <c r="D47" s="52" t="s">
        <v>99</v>
      </c>
      <c r="E47" s="60" t="s">
        <v>4</v>
      </c>
      <c r="F47" s="61"/>
    </row>
    <row r="48" spans="2:6" ht="17.25" customHeight="1" x14ac:dyDescent="0.25">
      <c r="D48" s="49" t="s">
        <v>100</v>
      </c>
      <c r="E48" s="58" t="s">
        <v>101</v>
      </c>
      <c r="F48" s="59"/>
    </row>
    <row r="49" spans="4:6" ht="17.25" customHeight="1" x14ac:dyDescent="0.25">
      <c r="D49" s="49" t="s">
        <v>102</v>
      </c>
      <c r="E49" s="58" t="s">
        <v>103</v>
      </c>
      <c r="F49" s="59"/>
    </row>
    <row r="50" spans="4:6" ht="17.25" customHeight="1" x14ac:dyDescent="0.25">
      <c r="D50" s="49" t="s">
        <v>104</v>
      </c>
      <c r="E50" s="58" t="s">
        <v>105</v>
      </c>
      <c r="F50" s="59"/>
    </row>
    <row r="51" spans="4:6" ht="17.25" customHeight="1" x14ac:dyDescent="0.25">
      <c r="D51" s="49" t="s">
        <v>106</v>
      </c>
      <c r="E51" s="58" t="s">
        <v>107</v>
      </c>
      <c r="F51" s="59"/>
    </row>
    <row r="52" spans="4:6" ht="17.25" customHeight="1" x14ac:dyDescent="0.3">
      <c r="D52"/>
      <c r="E52"/>
    </row>
    <row r="53" spans="4:6" ht="17.25" customHeight="1" x14ac:dyDescent="0.3">
      <c r="D53" s="63" t="s">
        <v>108</v>
      </c>
      <c r="E53"/>
    </row>
    <row r="54" spans="4:6" ht="17.25" customHeight="1" x14ac:dyDescent="0.3">
      <c r="D54" s="64" t="s">
        <v>98</v>
      </c>
      <c r="E54"/>
    </row>
    <row r="55" spans="4:6" ht="17.25" customHeight="1" x14ac:dyDescent="0.25">
      <c r="D55" s="52" t="s">
        <v>99</v>
      </c>
      <c r="E55" s="60" t="s">
        <v>4</v>
      </c>
      <c r="F55" s="61"/>
    </row>
    <row r="56" spans="4:6" ht="17.25" customHeight="1" x14ac:dyDescent="0.25">
      <c r="D56" s="49" t="s">
        <v>109</v>
      </c>
      <c r="E56" s="58" t="s">
        <v>110</v>
      </c>
      <c r="F56" s="59"/>
    </row>
    <row r="57" spans="4:6" ht="17.25" customHeight="1" x14ac:dyDescent="0.25">
      <c r="D57" s="49" t="s">
        <v>111</v>
      </c>
      <c r="E57" s="58" t="s">
        <v>112</v>
      </c>
      <c r="F57" s="59"/>
    </row>
    <row r="58" spans="4:6" ht="17.25" customHeight="1" x14ac:dyDescent="0.25">
      <c r="D58" s="49" t="s">
        <v>113</v>
      </c>
      <c r="E58" s="58" t="s">
        <v>114</v>
      </c>
      <c r="F58" s="59"/>
    </row>
    <row r="59" spans="4:6" ht="17.25" customHeight="1" x14ac:dyDescent="0.25">
      <c r="D59" s="49" t="s">
        <v>115</v>
      </c>
      <c r="E59" s="58" t="s">
        <v>116</v>
      </c>
      <c r="F59" s="59"/>
    </row>
    <row r="60" spans="4:6" ht="17.25" customHeight="1" x14ac:dyDescent="0.25"/>
    <row r="61" spans="4:6" ht="17.25" customHeight="1" x14ac:dyDescent="0.25"/>
    <row r="62" spans="4:6" ht="17.25" customHeight="1" x14ac:dyDescent="0.25"/>
    <row r="63" spans="4:6" ht="17.25" customHeight="1" x14ac:dyDescent="0.25"/>
    <row r="64" spans="4:6" ht="17.25" customHeight="1" x14ac:dyDescent="0.25"/>
    <row r="65" spans="4:4" ht="17.25" customHeight="1" x14ac:dyDescent="0.25"/>
    <row r="66" spans="4:4" ht="17.25" customHeight="1" x14ac:dyDescent="0.25"/>
    <row r="67" spans="4:4" ht="17.25" customHeight="1" x14ac:dyDescent="0.25"/>
    <row r="68" spans="4:4" ht="17.25" customHeight="1" x14ac:dyDescent="0.25"/>
    <row r="69" spans="4:4" ht="17.25" customHeight="1" x14ac:dyDescent="0.25"/>
    <row r="70" spans="4:4" ht="17.25" customHeight="1" x14ac:dyDescent="0.25"/>
    <row r="71" spans="4:4" ht="17.25" customHeight="1" x14ac:dyDescent="0.25"/>
    <row r="72" spans="4:4" ht="17.25" customHeight="1" x14ac:dyDescent="0.25"/>
    <row r="73" spans="4:4" ht="17.25" customHeight="1" x14ac:dyDescent="0.25">
      <c r="D73" s="50"/>
    </row>
  </sheetData>
  <mergeCells count="21">
    <mergeCell ref="E51:F51"/>
    <mergeCell ref="E56:F56"/>
    <mergeCell ref="E57:F57"/>
    <mergeCell ref="E58:F58"/>
    <mergeCell ref="E59:F59"/>
    <mergeCell ref="E55:F55"/>
    <mergeCell ref="D43:E43"/>
    <mergeCell ref="E47:F47"/>
    <mergeCell ref="E48:F48"/>
    <mergeCell ref="E49:F49"/>
    <mergeCell ref="E50:F50"/>
    <mergeCell ref="E39:F39"/>
    <mergeCell ref="E25:F25"/>
    <mergeCell ref="E28:F28"/>
    <mergeCell ref="E27:F27"/>
    <mergeCell ref="E29:F29"/>
    <mergeCell ref="E31:F31"/>
    <mergeCell ref="E37:F37"/>
    <mergeCell ref="E38:F38"/>
    <mergeCell ref="E26:F26"/>
    <mergeCell ref="E30:F30"/>
  </mergeCells>
  <hyperlinks>
    <hyperlink ref="C2" r:id="rId1" xr:uid="{766D0941-130E-4B5D-B91C-B906114999E9}"/>
    <hyperlink ref="C1" r:id="rId2" display="https://github.com/SanbiVN/UDFTipForm" xr:uid="{390819A2-C6BF-4453-995B-8196CB4997F1}"/>
    <hyperlink ref="F3" r:id="rId3" tooltip="Facebook Messenger" xr:uid="{4488F59A-9584-407E-B1B9-E9E719D7D4C3}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173EC-0CCE-46F6-B6EC-B46577355CCF}">
  <sheetPr codeName="Trang_tính2"/>
  <dimension ref="A1:S31"/>
  <sheetViews>
    <sheetView showGridLines="0" workbookViewId="0">
      <selection activeCell="D10" sqref="D10"/>
    </sheetView>
  </sheetViews>
  <sheetFormatPr defaultRowHeight="18" x14ac:dyDescent="0.25"/>
  <cols>
    <col min="1" max="1" width="11.109375" style="8" customWidth="1"/>
    <col min="2" max="2" width="9.5546875" style="8" bestFit="1" customWidth="1"/>
    <col min="3" max="5" width="8.88671875" style="8"/>
    <col min="6" max="6" width="2.6640625" style="8" customWidth="1"/>
    <col min="7" max="7" width="2" style="8" customWidth="1"/>
    <col min="8" max="11" width="8.88671875" style="8"/>
    <col min="12" max="12" width="2.5546875" style="8" customWidth="1"/>
    <col min="13" max="13" width="1.77734375" style="8" customWidth="1"/>
    <col min="14" max="15" width="8.88671875" style="8"/>
    <col min="16" max="16" width="2.21875" style="8" customWidth="1"/>
    <col min="17" max="17" width="28.44140625" style="11" customWidth="1"/>
    <col min="18" max="18" width="8.88671875" style="12"/>
    <col min="19" max="16384" width="8.88671875" style="8"/>
  </cols>
  <sheetData>
    <row r="1" spans="1:19" x14ac:dyDescent="0.25">
      <c r="A1" s="7" t="s">
        <v>71</v>
      </c>
    </row>
    <row r="3" spans="1:19" ht="19.5" x14ac:dyDescent="0.25">
      <c r="A3" s="2" t="s">
        <v>72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9" x14ac:dyDescent="0.25">
      <c r="A4" s="4"/>
      <c r="B4" s="18" t="str" cm="1">
        <f t="array" ref="B4">TipView(C14:D25,TipView_Data(A14:E25),TipView_ViewRange(N13:O18),TipView_MouseOver(),TipView_test())</f>
        <v>=TipView(C14:D25,TipView_Data(A14:E25),TipView_ViewRange(N13:O18),TipView_MouseOver())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9" ht="19.5" x14ac:dyDescent="0.25">
      <c r="A5" s="2" t="s">
        <v>73</v>
      </c>
      <c r="B5" s="4" t="str" cm="1">
        <f t="array" ref="B5">"Vùng ô "&amp; gfxData2() &amp;" là vùng sự kiện chuột chọn ô, TipView_MouseOver() đồng thời có sự kiện rê chuột"</f>
        <v>Vùng ô C14:D25 là vùng sự kiện chuột chọn ô, TipView_MouseOver() đồng thời có sự kiện rê chuột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9" x14ac:dyDescent="0.25">
      <c r="A6" s="4"/>
      <c r="B6" s="4" t="str" cm="1">
        <f t="array" ref="B6">"Form dựng sẵn là bảng "&amp;gfxData4() &amp;", form này sẽ được hiện thị khi hành động chuột trong Bảng 1"</f>
        <v>Form dựng sẵn là bảng N13:O18, form này sẽ được hiện thị khi hành động chuột trong Bảng 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9" ht="21.75" customHeight="1" x14ac:dyDescent="0.25">
      <c r="A7" s="2"/>
      <c r="B7" s="4" t="str" cm="1">
        <f t="array" ref="B7">"Vùng ô "&amp; gfxData1() &amp; " là vùng dữ liệu để GetRow và GetCol được nhập trong vùng " &amp; gfxData4()</f>
        <v>Vùng ô A14:E25 là vùng dữ liệu để GetRow và GetCol được nhập trong vùng N13:O18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9" ht="7.5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</row>
    <row r="9" spans="1:19" ht="3" customHeight="1" x14ac:dyDescent="0.25">
      <c r="A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7" t="s">
        <v>123</v>
      </c>
      <c r="O9" s="57"/>
      <c r="P9" s="57"/>
      <c r="Q9" s="57"/>
    </row>
    <row r="10" spans="1:19" ht="27.75" customHeight="1" x14ac:dyDescent="0.25">
      <c r="A10" s="4"/>
      <c r="B10" s="19" t="s">
        <v>89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7"/>
      <c r="O10" s="57"/>
      <c r="P10" s="57"/>
      <c r="Q10" s="57"/>
    </row>
    <row r="11" spans="1:19" ht="2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7"/>
      <c r="O11" s="57"/>
      <c r="P11" s="57"/>
      <c r="Q11" s="57"/>
    </row>
    <row r="12" spans="1:19" x14ac:dyDescent="0.25">
      <c r="A12" s="2" t="s">
        <v>68</v>
      </c>
      <c r="B12" s="4"/>
      <c r="C12" s="4"/>
      <c r="D12" s="4"/>
      <c r="E12" s="4"/>
      <c r="F12" s="4"/>
      <c r="G12" s="4"/>
      <c r="H12" s="2" t="s">
        <v>69</v>
      </c>
      <c r="I12" s="4"/>
      <c r="J12" s="4"/>
      <c r="K12" s="4"/>
      <c r="L12" s="4"/>
      <c r="M12" s="4"/>
      <c r="N12" s="2" t="s">
        <v>70</v>
      </c>
      <c r="O12" s="4"/>
      <c r="P12" s="4"/>
      <c r="Q12" s="11" t="s">
        <v>48</v>
      </c>
      <c r="R12" s="14" t="s">
        <v>50</v>
      </c>
      <c r="S12" s="4" t="s">
        <v>2</v>
      </c>
    </row>
    <row r="13" spans="1:19" x14ac:dyDescent="0.25">
      <c r="A13" s="1" t="s">
        <v>13</v>
      </c>
      <c r="B13" s="1" t="s">
        <v>14</v>
      </c>
      <c r="C13" s="1" t="s">
        <v>15</v>
      </c>
      <c r="D13" s="1" t="s">
        <v>16</v>
      </c>
      <c r="E13" s="1" t="s">
        <v>45</v>
      </c>
      <c r="F13" s="2"/>
      <c r="G13" s="2"/>
      <c r="H13" s="1" t="s">
        <v>41</v>
      </c>
      <c r="I13" s="1" t="s">
        <v>42</v>
      </c>
      <c r="J13" s="1" t="s">
        <v>43</v>
      </c>
      <c r="K13" s="1" t="s">
        <v>44</v>
      </c>
      <c r="L13" s="4"/>
      <c r="M13" s="4"/>
      <c r="N13" s="1"/>
      <c r="O13" s="1" t="s">
        <v>47</v>
      </c>
      <c r="P13" s="4"/>
      <c r="Q13" s="8"/>
      <c r="R13" s="8"/>
    </row>
    <row r="14" spans="1:19" x14ac:dyDescent="0.25">
      <c r="A14" s="3" t="s">
        <v>17</v>
      </c>
      <c r="B14" s="62" t="s">
        <v>29</v>
      </c>
      <c r="C14" s="6">
        <v>0.1</v>
      </c>
      <c r="D14" s="6">
        <v>10</v>
      </c>
      <c r="E14" s="3">
        <v>19.899999999999999</v>
      </c>
      <c r="F14" s="4"/>
      <c r="G14" s="4"/>
      <c r="H14" s="3" t="s">
        <v>17</v>
      </c>
      <c r="I14" s="62" t="s">
        <v>29</v>
      </c>
      <c r="J14" s="3">
        <v>100</v>
      </c>
      <c r="K14" s="3">
        <v>0.11</v>
      </c>
      <c r="L14" s="4"/>
      <c r="M14" s="4"/>
      <c r="N14" s="3" t="s">
        <v>13</v>
      </c>
      <c r="O14" s="15" cm="1">
        <f t="array" ref="O14">_xlfn.XLOOKUP(TipView_getrow(2,TRUE),$B$14:$B$25,$A$14:$A$25,0,0,1)</f>
        <v>0</v>
      </c>
      <c r="P14" s="4"/>
      <c r="Q14" s="10" t="s">
        <v>90</v>
      </c>
      <c r="R14" s="13" cm="1">
        <f t="array" ref="R14">TipView_getrow(2)</f>
        <v>1</v>
      </c>
      <c r="S14" s="9" t="s">
        <v>49</v>
      </c>
    </row>
    <row r="15" spans="1:19" x14ac:dyDescent="0.25">
      <c r="A15" s="3" t="s">
        <v>18</v>
      </c>
      <c r="B15" s="62" t="s">
        <v>30</v>
      </c>
      <c r="C15" s="6">
        <v>0.2</v>
      </c>
      <c r="D15" s="6">
        <v>11</v>
      </c>
      <c r="E15" s="3">
        <v>21.8</v>
      </c>
      <c r="F15" s="4"/>
      <c r="G15" s="4"/>
      <c r="H15" s="3" t="s">
        <v>18</v>
      </c>
      <c r="I15" s="62" t="s">
        <v>30</v>
      </c>
      <c r="J15" s="3">
        <v>101</v>
      </c>
      <c r="K15" s="3">
        <v>0.12</v>
      </c>
      <c r="L15" s="4"/>
      <c r="M15" s="4"/>
      <c r="N15" s="3" t="s">
        <v>15</v>
      </c>
      <c r="O15" s="15" cm="1">
        <f t="array" ref="O15">_xlfn.XLOOKUP(TipView_getrow(2,TRUE),$B$14:$B$25,C14:C25,0,0,1)</f>
        <v>0</v>
      </c>
      <c r="P15" s="4"/>
      <c r="Q15" s="10" t="s">
        <v>91</v>
      </c>
      <c r="R15" s="13" cm="1">
        <f t="array" ref="R15">TipView_getrow(2,TRUE)</f>
        <v>0.1</v>
      </c>
      <c r="S15" s="9" t="s">
        <v>51</v>
      </c>
    </row>
    <row r="16" spans="1:19" x14ac:dyDescent="0.25">
      <c r="A16" s="3" t="s">
        <v>19</v>
      </c>
      <c r="B16" s="62" t="s">
        <v>31</v>
      </c>
      <c r="C16" s="6">
        <v>0.3</v>
      </c>
      <c r="D16" s="6">
        <v>12</v>
      </c>
      <c r="E16" s="3">
        <v>23.7</v>
      </c>
      <c r="F16" s="4"/>
      <c r="G16" s="4"/>
      <c r="H16" s="3" t="s">
        <v>19</v>
      </c>
      <c r="I16" s="62" t="s">
        <v>31</v>
      </c>
      <c r="J16" s="3">
        <v>102</v>
      </c>
      <c r="K16" s="3">
        <v>0.13</v>
      </c>
      <c r="L16" s="4"/>
      <c r="M16" s="4"/>
      <c r="N16" s="3" t="s">
        <v>16</v>
      </c>
      <c r="O16" s="15" cm="1">
        <f t="array" ref="O16">_xlfn.XLOOKUP(TipView_getrow(2,TRUE),$B$14:$B$25,D14:D25,0,0,1)</f>
        <v>0</v>
      </c>
      <c r="P16" s="4"/>
      <c r="Q16" s="10" t="s">
        <v>92</v>
      </c>
      <c r="R16" s="13" cm="1">
        <f t="array" ref="R16">TipView_GetCol(2)</f>
        <v>1</v>
      </c>
      <c r="S16" s="9" t="s">
        <v>53</v>
      </c>
    </row>
    <row r="17" spans="1:19" x14ac:dyDescent="0.25">
      <c r="A17" s="3" t="s">
        <v>20</v>
      </c>
      <c r="B17" s="62" t="s">
        <v>32</v>
      </c>
      <c r="C17" s="6">
        <v>0.4</v>
      </c>
      <c r="D17" s="6">
        <v>13</v>
      </c>
      <c r="E17" s="3">
        <v>25.6</v>
      </c>
      <c r="F17" s="4"/>
      <c r="G17" s="4"/>
      <c r="H17" s="3" t="s">
        <v>20</v>
      </c>
      <c r="I17" s="62" t="s">
        <v>32</v>
      </c>
      <c r="J17" s="3">
        <v>103</v>
      </c>
      <c r="K17" s="3">
        <v>0.14000000000000001</v>
      </c>
      <c r="L17" s="4"/>
      <c r="M17" s="4"/>
      <c r="N17" s="3" t="s">
        <v>43</v>
      </c>
      <c r="O17" s="15" cm="1">
        <f t="array" ref="O17">_xlfn.XLOOKUP(TipView_getrow(2,TRUE),$I$14:$I$25,$J$14:$J$25,0,0,1)</f>
        <v>0</v>
      </c>
      <c r="P17" s="4"/>
      <c r="Q17" s="10" t="s">
        <v>93</v>
      </c>
      <c r="R17" s="13" cm="1">
        <f t="array" ref="R17">TipView_GetCol(2,TRUE)</f>
        <v>0.1</v>
      </c>
      <c r="S17" s="9" t="s">
        <v>51</v>
      </c>
    </row>
    <row r="18" spans="1:19" x14ac:dyDescent="0.25">
      <c r="A18" s="3" t="s">
        <v>21</v>
      </c>
      <c r="B18" s="62" t="s">
        <v>33</v>
      </c>
      <c r="C18" s="6">
        <v>0.5</v>
      </c>
      <c r="D18" s="6">
        <v>14</v>
      </c>
      <c r="E18" s="3">
        <v>27.5</v>
      </c>
      <c r="F18" s="4"/>
      <c r="G18" s="4"/>
      <c r="H18" s="3" t="s">
        <v>21</v>
      </c>
      <c r="I18" s="62" t="s">
        <v>33</v>
      </c>
      <c r="J18" s="3">
        <v>104</v>
      </c>
      <c r="K18" s="3">
        <v>0.15</v>
      </c>
      <c r="L18" s="4"/>
      <c r="M18" s="4"/>
      <c r="N18" s="3" t="s">
        <v>44</v>
      </c>
      <c r="O18" s="15" cm="1">
        <f t="array" ref="O18">_xlfn.XLOOKUP(TipView_getrow(2,TRUE),$I$14:$I$25,K14:K25,0,0,1)</f>
        <v>0</v>
      </c>
      <c r="P18" s="4"/>
    </row>
    <row r="19" spans="1:19" x14ac:dyDescent="0.25">
      <c r="A19" s="3" t="s">
        <v>22</v>
      </c>
      <c r="B19" s="62" t="s">
        <v>34</v>
      </c>
      <c r="C19" s="6">
        <v>0.6</v>
      </c>
      <c r="D19" s="6">
        <v>15</v>
      </c>
      <c r="E19" s="3">
        <v>29.4</v>
      </c>
      <c r="F19" s="4"/>
      <c r="G19" s="4"/>
      <c r="H19" s="3" t="s">
        <v>22</v>
      </c>
      <c r="I19" s="62" t="s">
        <v>34</v>
      </c>
      <c r="J19" s="3">
        <v>105</v>
      </c>
      <c r="K19" s="3">
        <v>0.16</v>
      </c>
      <c r="L19" s="4"/>
      <c r="M19" s="4"/>
      <c r="N19" s="4"/>
      <c r="O19" s="4"/>
      <c r="P19" s="4"/>
    </row>
    <row r="20" spans="1:19" x14ac:dyDescent="0.25">
      <c r="A20" s="3" t="s">
        <v>23</v>
      </c>
      <c r="B20" s="62" t="s">
        <v>35</v>
      </c>
      <c r="C20" s="6">
        <v>0.7</v>
      </c>
      <c r="D20" s="6">
        <v>16</v>
      </c>
      <c r="E20" s="3">
        <v>31.3</v>
      </c>
      <c r="F20" s="4"/>
      <c r="G20" s="4"/>
      <c r="H20" s="3" t="s">
        <v>23</v>
      </c>
      <c r="I20" s="62" t="s">
        <v>35</v>
      </c>
      <c r="J20" s="3">
        <v>106</v>
      </c>
      <c r="K20" s="3">
        <v>0.17</v>
      </c>
      <c r="L20" s="4"/>
      <c r="M20" s="4"/>
      <c r="N20" s="17" t="s">
        <v>52</v>
      </c>
      <c r="O20" s="16"/>
      <c r="P20" s="4"/>
    </row>
    <row r="21" spans="1:19" x14ac:dyDescent="0.25">
      <c r="A21" s="3" t="s">
        <v>24</v>
      </c>
      <c r="B21" s="62" t="s">
        <v>36</v>
      </c>
      <c r="C21" s="6">
        <v>0.8</v>
      </c>
      <c r="D21" s="6">
        <v>17</v>
      </c>
      <c r="E21" s="3">
        <v>33.200000000000003</v>
      </c>
      <c r="F21" s="4"/>
      <c r="G21" s="4"/>
      <c r="H21" s="3" t="s">
        <v>24</v>
      </c>
      <c r="I21" s="62" t="s">
        <v>36</v>
      </c>
      <c r="J21" s="3">
        <v>107</v>
      </c>
      <c r="K21" s="3">
        <v>0.18</v>
      </c>
      <c r="L21" s="4"/>
      <c r="M21" s="4"/>
      <c r="N21" s="4"/>
      <c r="O21" s="4"/>
      <c r="P21" s="4"/>
    </row>
    <row r="22" spans="1:19" x14ac:dyDescent="0.25">
      <c r="A22" s="3" t="s">
        <v>25</v>
      </c>
      <c r="B22" s="62" t="s">
        <v>37</v>
      </c>
      <c r="C22" s="6">
        <v>0.9</v>
      </c>
      <c r="D22" s="6">
        <v>18</v>
      </c>
      <c r="E22" s="3">
        <v>35.1</v>
      </c>
      <c r="F22" s="4"/>
      <c r="G22" s="4"/>
      <c r="H22" s="3" t="s">
        <v>25</v>
      </c>
      <c r="I22" s="62" t="s">
        <v>37</v>
      </c>
      <c r="J22" s="3">
        <v>108</v>
      </c>
      <c r="K22" s="3">
        <v>0.19</v>
      </c>
      <c r="L22" s="4"/>
      <c r="M22" s="4"/>
      <c r="N22" s="4"/>
      <c r="O22" s="4"/>
    </row>
    <row r="23" spans="1:19" x14ac:dyDescent="0.25">
      <c r="A23" s="3" t="s">
        <v>26</v>
      </c>
      <c r="B23" s="62" t="s">
        <v>38</v>
      </c>
      <c r="C23" s="6">
        <v>1</v>
      </c>
      <c r="D23" s="6">
        <v>19</v>
      </c>
      <c r="E23" s="3">
        <v>37</v>
      </c>
      <c r="F23" s="4"/>
      <c r="G23" s="4"/>
      <c r="H23" s="3" t="s">
        <v>26</v>
      </c>
      <c r="I23" s="62" t="s">
        <v>38</v>
      </c>
      <c r="J23" s="3">
        <v>109</v>
      </c>
      <c r="K23" s="3">
        <v>0.2</v>
      </c>
      <c r="L23" s="4"/>
      <c r="M23" s="4"/>
      <c r="N23" s="4"/>
      <c r="O23" s="4"/>
    </row>
    <row r="24" spans="1:19" ht="26.25" customHeight="1" x14ac:dyDescent="0.25">
      <c r="A24" s="3" t="s">
        <v>27</v>
      </c>
      <c r="B24" s="62" t="s">
        <v>39</v>
      </c>
      <c r="C24" s="6">
        <v>1.1000000000000001</v>
      </c>
      <c r="D24" s="6">
        <v>20</v>
      </c>
      <c r="E24" s="3">
        <v>38.9</v>
      </c>
      <c r="F24" s="4"/>
      <c r="G24" s="4"/>
      <c r="H24" s="3" t="s">
        <v>27</v>
      </c>
      <c r="I24" s="62" t="s">
        <v>39</v>
      </c>
      <c r="J24" s="3">
        <v>110</v>
      </c>
      <c r="K24" s="3">
        <v>0.21</v>
      </c>
      <c r="L24" s="4"/>
      <c r="M24" s="4"/>
      <c r="N24" s="4"/>
      <c r="O24" s="4"/>
    </row>
    <row r="25" spans="1:19" ht="26.25" customHeight="1" x14ac:dyDescent="0.25">
      <c r="A25" s="5" t="s">
        <v>28</v>
      </c>
      <c r="B25" s="62" t="s">
        <v>40</v>
      </c>
      <c r="C25" s="6">
        <v>1.2</v>
      </c>
      <c r="D25" s="6">
        <v>21</v>
      </c>
      <c r="E25" s="3">
        <v>40.799999999999997</v>
      </c>
      <c r="F25" s="4"/>
      <c r="G25" s="4"/>
      <c r="H25" s="3" t="s">
        <v>28</v>
      </c>
      <c r="I25" s="62" t="s">
        <v>40</v>
      </c>
      <c r="J25" s="3">
        <v>111</v>
      </c>
      <c r="K25" s="3">
        <v>0.22</v>
      </c>
      <c r="L25" s="4"/>
      <c r="M25" s="4"/>
      <c r="N25" s="4"/>
      <c r="O25" s="4"/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</sheetData>
  <mergeCells count="1">
    <mergeCell ref="N9:Q11"/>
  </mergeCells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DBB0C-117F-4C8A-9B64-033F2C9245F4}">
  <sheetPr codeName="Trang_tính3"/>
  <dimension ref="A1:S31"/>
  <sheetViews>
    <sheetView showGridLines="0" workbookViewId="0">
      <selection activeCell="Q22" sqref="Q22"/>
    </sheetView>
  </sheetViews>
  <sheetFormatPr defaultRowHeight="18" x14ac:dyDescent="0.25"/>
  <cols>
    <col min="1" max="1" width="11.109375" style="8" customWidth="1"/>
    <col min="2" max="2" width="9.5546875" style="8" bestFit="1" customWidth="1"/>
    <col min="3" max="5" width="8.88671875" style="8"/>
    <col min="6" max="6" width="2.6640625" style="8" customWidth="1"/>
    <col min="7" max="7" width="2" style="8" customWidth="1"/>
    <col min="8" max="11" width="8.88671875" style="8"/>
    <col min="12" max="12" width="2.5546875" style="8" customWidth="1"/>
    <col min="13" max="13" width="1.77734375" style="8" customWidth="1"/>
    <col min="14" max="15" width="8.88671875" style="8"/>
    <col min="16" max="16" width="2.21875" style="8" customWidth="1"/>
    <col min="17" max="17" width="28.44140625" style="11" customWidth="1"/>
    <col min="18" max="18" width="8.88671875" style="12"/>
    <col min="19" max="16384" width="8.88671875" style="8"/>
  </cols>
  <sheetData>
    <row r="1" spans="1:19" x14ac:dyDescent="0.25">
      <c r="A1" s="7" t="s">
        <v>124</v>
      </c>
    </row>
    <row r="3" spans="1:19" ht="19.5" x14ac:dyDescent="0.25">
      <c r="A3" s="2" t="s">
        <v>72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9" x14ac:dyDescent="0.25">
      <c r="A4" s="4"/>
      <c r="B4" s="18" t="str" cm="1">
        <f t="array" ref="B4">TipView(C14:D25,TipView_Data(A14:E25),TipView_ViewRange(N13:O18),TipView_ViewCharts("ChartTest1"),TipView_MouseOver(),TipView_test())</f>
        <v>=TipView(C14:D25,TipView_Data(A14:E25),TipView_ViewRange(N13:O18),TipView_ViewCharts("ChartTest1"),TipView_MouseOver())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9" ht="19.5" x14ac:dyDescent="0.25">
      <c r="A5" s="2" t="s">
        <v>73</v>
      </c>
      <c r="B5" s="4" t="str" cm="1">
        <f t="array" ref="B5">"Vùng ô "&amp; gfxData2() &amp;" là vùng sự kiện chuột"</f>
        <v>Vùng ô C14:D25 là vùng sự kiện chuột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9" x14ac:dyDescent="0.25">
      <c r="A6" s="4"/>
      <c r="B6" s="4" t="str" cm="1">
        <f t="array" ref="B6">"Form dựng sẵn là bảng "&amp;gfxData4() &amp;", form này sẽ được hiện thị khi hành động chuột trong Bảng 1"</f>
        <v>Form dựng sẵn là bảng N13:O18, form này sẽ được hiện thị khi hành động chuột trong Bảng 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9" ht="21.75" customHeight="1" x14ac:dyDescent="0.25">
      <c r="A7" s="2"/>
      <c r="B7" s="4" t="str" cm="1">
        <f t="array" ref="B7">"Vùng ô "&amp; gfxData1() &amp; " là vùng dữ liệu để GetRow và GetCol"</f>
        <v>Vùng ô A14:E25 là vùng dữ liệu để GetRow và GetCol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9" ht="7.5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</row>
    <row r="9" spans="1:19" ht="3" customHeight="1" x14ac:dyDescent="0.25">
      <c r="A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7" t="s">
        <v>123</v>
      </c>
      <c r="O9" s="57"/>
      <c r="P9" s="57"/>
      <c r="Q9" s="57"/>
    </row>
    <row r="10" spans="1:19" ht="27.75" customHeight="1" x14ac:dyDescent="0.25">
      <c r="A10" s="4"/>
      <c r="B10" s="19" t="s">
        <v>89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7"/>
      <c r="O10" s="57"/>
      <c r="P10" s="57"/>
      <c r="Q10" s="57"/>
    </row>
    <row r="11" spans="1:19" ht="2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7"/>
      <c r="O11" s="57"/>
      <c r="P11" s="57"/>
      <c r="Q11" s="57"/>
    </row>
    <row r="12" spans="1:19" x14ac:dyDescent="0.25">
      <c r="A12" s="2" t="s">
        <v>68</v>
      </c>
      <c r="B12" s="4"/>
      <c r="C12" s="4"/>
      <c r="D12" s="4"/>
      <c r="E12" s="4"/>
      <c r="F12" s="4"/>
      <c r="G12" s="4"/>
      <c r="H12" s="2" t="s">
        <v>69</v>
      </c>
      <c r="I12" s="4"/>
      <c r="J12" s="4"/>
      <c r="K12" s="4"/>
      <c r="L12" s="4"/>
      <c r="M12" s="4"/>
      <c r="N12" s="2" t="s">
        <v>70</v>
      </c>
      <c r="O12" s="4"/>
      <c r="P12" s="4"/>
      <c r="Q12" s="11" t="s">
        <v>48</v>
      </c>
      <c r="R12" s="14" t="s">
        <v>50</v>
      </c>
      <c r="S12" s="4" t="s">
        <v>2</v>
      </c>
    </row>
    <row r="13" spans="1:19" x14ac:dyDescent="0.25">
      <c r="A13" s="1" t="s">
        <v>13</v>
      </c>
      <c r="B13" s="1" t="s">
        <v>14</v>
      </c>
      <c r="C13" s="1" t="s">
        <v>15</v>
      </c>
      <c r="D13" s="1" t="s">
        <v>16</v>
      </c>
      <c r="E13" s="1" t="s">
        <v>45</v>
      </c>
      <c r="F13" s="2"/>
      <c r="G13" s="2"/>
      <c r="H13" s="1" t="s">
        <v>41</v>
      </c>
      <c r="I13" s="1" t="s">
        <v>42</v>
      </c>
      <c r="J13" s="1" t="s">
        <v>43</v>
      </c>
      <c r="K13" s="1" t="s">
        <v>44</v>
      </c>
      <c r="L13" s="4"/>
      <c r="M13" s="4"/>
      <c r="N13" s="1"/>
      <c r="O13" s="1" t="s">
        <v>47</v>
      </c>
      <c r="P13" s="4"/>
      <c r="Q13" s="8"/>
      <c r="R13" s="8"/>
    </row>
    <row r="14" spans="1:19" x14ac:dyDescent="0.25">
      <c r="A14" s="3" t="s">
        <v>17</v>
      </c>
      <c r="B14" s="62" t="s">
        <v>29</v>
      </c>
      <c r="C14" s="6">
        <v>0.1</v>
      </c>
      <c r="D14" s="6">
        <v>10</v>
      </c>
      <c r="E14" s="3">
        <v>19.899999999999999</v>
      </c>
      <c r="F14" s="4"/>
      <c r="G14" s="4"/>
      <c r="H14" s="3" t="s">
        <v>17</v>
      </c>
      <c r="I14" s="62" t="s">
        <v>29</v>
      </c>
      <c r="J14" s="3">
        <v>100</v>
      </c>
      <c r="K14" s="3">
        <v>0.11</v>
      </c>
      <c r="L14" s="4"/>
      <c r="M14" s="4"/>
      <c r="N14" s="3" t="s">
        <v>13</v>
      </c>
      <c r="O14" s="15" cm="1">
        <f t="array" ref="O14">_xlfn.XLOOKUP(TipView_getrow(2,TRUE),$B$14:$B$25,$A$14:$A$25,0,0,1)</f>
        <v>0</v>
      </c>
      <c r="P14" s="4"/>
      <c r="Q14" s="10" t="s">
        <v>90</v>
      </c>
      <c r="R14" s="13" cm="1">
        <f t="array" ref="R14">TipView_getrow(2)</f>
        <v>1</v>
      </c>
      <c r="S14" s="9" t="s">
        <v>49</v>
      </c>
    </row>
    <row r="15" spans="1:19" x14ac:dyDescent="0.25">
      <c r="A15" s="3" t="s">
        <v>18</v>
      </c>
      <c r="B15" s="62" t="s">
        <v>30</v>
      </c>
      <c r="C15" s="6">
        <v>0.2</v>
      </c>
      <c r="D15" s="6">
        <v>11</v>
      </c>
      <c r="E15" s="3">
        <v>21.8</v>
      </c>
      <c r="F15" s="4"/>
      <c r="G15" s="4"/>
      <c r="H15" s="3" t="s">
        <v>18</v>
      </c>
      <c r="I15" s="62" t="s">
        <v>30</v>
      </c>
      <c r="J15" s="3">
        <v>101</v>
      </c>
      <c r="K15" s="3">
        <v>0.12</v>
      </c>
      <c r="L15" s="4"/>
      <c r="M15" s="4"/>
      <c r="N15" s="3" t="s">
        <v>15</v>
      </c>
      <c r="O15" s="15" cm="1">
        <f t="array" ref="O15">_xlfn.XLOOKUP(TipView_getrow(2,TRUE),$B$14:$B$25,C14:C25,0,0,1)</f>
        <v>0</v>
      </c>
      <c r="P15" s="4"/>
      <c r="Q15" s="10" t="s">
        <v>91</v>
      </c>
      <c r="R15" s="13" cm="1">
        <f t="array" ref="R15">TipView_getrow(2,TRUE)</f>
        <v>0.1</v>
      </c>
      <c r="S15" s="9" t="s">
        <v>51</v>
      </c>
    </row>
    <row r="16" spans="1:19" x14ac:dyDescent="0.25">
      <c r="A16" s="3" t="s">
        <v>19</v>
      </c>
      <c r="B16" s="62" t="s">
        <v>31</v>
      </c>
      <c r="C16" s="6">
        <v>0.3</v>
      </c>
      <c r="D16" s="6">
        <v>12</v>
      </c>
      <c r="E16" s="3">
        <v>23.7</v>
      </c>
      <c r="F16" s="4"/>
      <c r="G16" s="4"/>
      <c r="H16" s="3" t="s">
        <v>19</v>
      </c>
      <c r="I16" s="62" t="s">
        <v>31</v>
      </c>
      <c r="J16" s="3">
        <v>102</v>
      </c>
      <c r="K16" s="3">
        <v>0.13</v>
      </c>
      <c r="L16" s="4"/>
      <c r="M16" s="4"/>
      <c r="N16" s="3" t="s">
        <v>16</v>
      </c>
      <c r="O16" s="15" cm="1">
        <f t="array" ref="O16">_xlfn.XLOOKUP(TipView_getrow(2,TRUE),$B$14:$B$25,D14:D25,0,0,1)</f>
        <v>0</v>
      </c>
      <c r="P16" s="4"/>
      <c r="Q16" s="10" t="s">
        <v>92</v>
      </c>
      <c r="R16" s="13" cm="1">
        <f t="array" ref="R16">TipView_GetCol(2)</f>
        <v>1</v>
      </c>
      <c r="S16" s="9" t="s">
        <v>53</v>
      </c>
    </row>
    <row r="17" spans="1:19" x14ac:dyDescent="0.25">
      <c r="A17" s="3" t="s">
        <v>20</v>
      </c>
      <c r="B17" s="62" t="s">
        <v>32</v>
      </c>
      <c r="C17" s="6">
        <v>0.4</v>
      </c>
      <c r="D17" s="6">
        <v>13</v>
      </c>
      <c r="E17" s="3">
        <v>25.6</v>
      </c>
      <c r="F17" s="4"/>
      <c r="G17" s="4"/>
      <c r="H17" s="3" t="s">
        <v>20</v>
      </c>
      <c r="I17" s="62" t="s">
        <v>32</v>
      </c>
      <c r="J17" s="3">
        <v>103</v>
      </c>
      <c r="K17" s="3">
        <v>0.14000000000000001</v>
      </c>
      <c r="L17" s="4"/>
      <c r="M17" s="4"/>
      <c r="N17" s="3" t="s">
        <v>43</v>
      </c>
      <c r="O17" s="15" cm="1">
        <f t="array" ref="O17">_xlfn.XLOOKUP(TipView_getrow(2,TRUE),$I$14:$I$25,$J$14:$J$25,0,0,1)</f>
        <v>0</v>
      </c>
      <c r="P17" s="4"/>
      <c r="Q17" s="10" t="s">
        <v>93</v>
      </c>
      <c r="R17" s="13" cm="1">
        <f t="array" ref="R17">TipView_GetCol(2,TRUE)</f>
        <v>0.1</v>
      </c>
      <c r="S17" s="9" t="s">
        <v>51</v>
      </c>
    </row>
    <row r="18" spans="1:19" x14ac:dyDescent="0.25">
      <c r="A18" s="3" t="s">
        <v>21</v>
      </c>
      <c r="B18" s="62" t="s">
        <v>33</v>
      </c>
      <c r="C18" s="6">
        <v>0.5</v>
      </c>
      <c r="D18" s="6">
        <v>14</v>
      </c>
      <c r="E18" s="3">
        <v>27.5</v>
      </c>
      <c r="F18" s="4"/>
      <c r="G18" s="4"/>
      <c r="H18" s="3" t="s">
        <v>21</v>
      </c>
      <c r="I18" s="62" t="s">
        <v>33</v>
      </c>
      <c r="J18" s="3">
        <v>104</v>
      </c>
      <c r="K18" s="3">
        <v>0.15</v>
      </c>
      <c r="L18" s="4"/>
      <c r="M18" s="4"/>
      <c r="N18" s="3" t="s">
        <v>44</v>
      </c>
      <c r="O18" s="15" cm="1">
        <f t="array" ref="O18">_xlfn.XLOOKUP(TipView_getrow(2,TRUE),$I$14:$I$25,K14:K25,0,0,1)</f>
        <v>0</v>
      </c>
      <c r="P18" s="4"/>
    </row>
    <row r="19" spans="1:19" x14ac:dyDescent="0.25">
      <c r="A19" s="3" t="s">
        <v>22</v>
      </c>
      <c r="B19" s="62" t="s">
        <v>34</v>
      </c>
      <c r="C19" s="6">
        <v>0.6</v>
      </c>
      <c r="D19" s="6">
        <v>15</v>
      </c>
      <c r="E19" s="3">
        <v>29.4</v>
      </c>
      <c r="F19" s="4"/>
      <c r="G19" s="4"/>
      <c r="H19" s="3" t="s">
        <v>22</v>
      </c>
      <c r="I19" s="62" t="s">
        <v>34</v>
      </c>
      <c r="J19" s="3">
        <v>105</v>
      </c>
      <c r="K19" s="3">
        <v>0.16</v>
      </c>
      <c r="L19" s="4"/>
      <c r="M19" s="4"/>
      <c r="N19" s="4"/>
      <c r="O19" s="4"/>
      <c r="P19" s="4"/>
    </row>
    <row r="20" spans="1:19" x14ac:dyDescent="0.25">
      <c r="A20" s="3" t="s">
        <v>23</v>
      </c>
      <c r="B20" s="62" t="s">
        <v>35</v>
      </c>
      <c r="C20" s="6">
        <v>0.7</v>
      </c>
      <c r="D20" s="6">
        <v>16</v>
      </c>
      <c r="E20" s="3">
        <v>31.3</v>
      </c>
      <c r="F20" s="4"/>
      <c r="G20" s="4"/>
      <c r="H20" s="3" t="s">
        <v>23</v>
      </c>
      <c r="I20" s="62" t="s">
        <v>35</v>
      </c>
      <c r="J20" s="3">
        <v>106</v>
      </c>
      <c r="K20" s="3">
        <v>0.17</v>
      </c>
      <c r="L20" s="4"/>
      <c r="M20" s="4"/>
      <c r="N20" s="17" t="s">
        <v>52</v>
      </c>
      <c r="O20" s="16"/>
      <c r="P20" s="4"/>
    </row>
    <row r="21" spans="1:19" x14ac:dyDescent="0.25">
      <c r="A21" s="3" t="s">
        <v>24</v>
      </c>
      <c r="B21" s="62" t="s">
        <v>36</v>
      </c>
      <c r="C21" s="6">
        <v>0.8</v>
      </c>
      <c r="D21" s="6">
        <v>17</v>
      </c>
      <c r="E21" s="3">
        <v>33.200000000000003</v>
      </c>
      <c r="F21" s="4"/>
      <c r="G21" s="4"/>
      <c r="H21" s="3" t="s">
        <v>24</v>
      </c>
      <c r="I21" s="62" t="s">
        <v>36</v>
      </c>
      <c r="J21" s="3">
        <v>107</v>
      </c>
      <c r="K21" s="3">
        <v>0.18</v>
      </c>
      <c r="L21" s="4"/>
      <c r="M21" s="4"/>
      <c r="N21" s="4"/>
      <c r="O21" s="4"/>
      <c r="P21" s="4"/>
    </row>
    <row r="22" spans="1:19" x14ac:dyDescent="0.25">
      <c r="A22" s="3" t="s">
        <v>25</v>
      </c>
      <c r="B22" s="62" t="s">
        <v>37</v>
      </c>
      <c r="C22" s="6">
        <v>0.9</v>
      </c>
      <c r="D22" s="6">
        <v>18</v>
      </c>
      <c r="E22" s="3">
        <v>35.1</v>
      </c>
      <c r="F22" s="4"/>
      <c r="G22" s="4"/>
      <c r="H22" s="3" t="s">
        <v>25</v>
      </c>
      <c r="I22" s="62" t="s">
        <v>37</v>
      </c>
      <c r="J22" s="3">
        <v>108</v>
      </c>
      <c r="K22" s="3">
        <v>0.19</v>
      </c>
      <c r="L22" s="4"/>
      <c r="M22" s="4"/>
      <c r="N22" s="4"/>
      <c r="O22" s="4"/>
    </row>
    <row r="23" spans="1:19" x14ac:dyDescent="0.25">
      <c r="A23" s="3" t="s">
        <v>26</v>
      </c>
      <c r="B23" s="62" t="s">
        <v>38</v>
      </c>
      <c r="C23" s="6">
        <v>1</v>
      </c>
      <c r="D23" s="6">
        <v>19</v>
      </c>
      <c r="E23" s="3">
        <v>37</v>
      </c>
      <c r="F23" s="4"/>
      <c r="G23" s="4"/>
      <c r="H23" s="3" t="s">
        <v>26</v>
      </c>
      <c r="I23" s="62" t="s">
        <v>38</v>
      </c>
      <c r="J23" s="3">
        <v>109</v>
      </c>
      <c r="K23" s="3">
        <v>0.2</v>
      </c>
      <c r="L23" s="4"/>
      <c r="M23" s="4"/>
      <c r="N23" s="4"/>
      <c r="O23" s="4"/>
    </row>
    <row r="24" spans="1:19" ht="26.25" customHeight="1" x14ac:dyDescent="0.25">
      <c r="A24" s="3" t="s">
        <v>27</v>
      </c>
      <c r="B24" s="62" t="s">
        <v>39</v>
      </c>
      <c r="C24" s="6">
        <v>1.1000000000000001</v>
      </c>
      <c r="D24" s="6">
        <v>20</v>
      </c>
      <c r="E24" s="3">
        <v>38.9</v>
      </c>
      <c r="F24" s="4"/>
      <c r="G24" s="4"/>
      <c r="H24" s="3" t="s">
        <v>27</v>
      </c>
      <c r="I24" s="62" t="s">
        <v>39</v>
      </c>
      <c r="J24" s="3">
        <v>110</v>
      </c>
      <c r="K24" s="3">
        <v>0.21</v>
      </c>
      <c r="L24" s="4"/>
      <c r="M24" s="4"/>
      <c r="N24" s="4"/>
      <c r="O24" s="4"/>
    </row>
    <row r="25" spans="1:19" ht="26.25" customHeight="1" x14ac:dyDescent="0.25">
      <c r="A25" s="5" t="s">
        <v>28</v>
      </c>
      <c r="B25" s="62" t="s">
        <v>40</v>
      </c>
      <c r="C25" s="6">
        <v>1.2</v>
      </c>
      <c r="D25" s="6">
        <v>21</v>
      </c>
      <c r="E25" s="3">
        <v>40.799999999999997</v>
      </c>
      <c r="F25" s="4"/>
      <c r="G25" s="4"/>
      <c r="H25" s="3" t="s">
        <v>28</v>
      </c>
      <c r="I25" s="62" t="s">
        <v>40</v>
      </c>
      <c r="J25" s="3">
        <v>111</v>
      </c>
      <c r="K25" s="3">
        <v>0.22</v>
      </c>
      <c r="L25" s="4"/>
      <c r="M25" s="4"/>
      <c r="N25" s="4"/>
      <c r="O25" s="4"/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</sheetData>
  <mergeCells count="1">
    <mergeCell ref="N9:Q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3</vt:i4>
      </vt:variant>
      <vt:variant>
        <vt:lpstr>Phạm vi Có tên</vt:lpstr>
      </vt:variant>
      <vt:variant>
        <vt:i4>4</vt:i4>
      </vt:variant>
    </vt:vector>
  </HeadingPairs>
  <TitlesOfParts>
    <vt:vector size="7" baseType="lpstr">
      <vt:lpstr>Hàm TipForm</vt:lpstr>
      <vt:lpstr>test1</vt:lpstr>
      <vt:lpstr>test2</vt:lpstr>
      <vt:lpstr>test1!TipForm1</vt:lpstr>
      <vt:lpstr>test2!TipForm1</vt:lpstr>
      <vt:lpstr>test1!TipView1</vt:lpstr>
      <vt:lpstr>test2!TipView1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2026-03-21T01:21:37Z</dcterms:modified>
</cp:coreProperties>
</file>